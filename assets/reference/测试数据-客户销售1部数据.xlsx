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880" windowHeight="10910"/>
  </bookViews>
  <sheets>
    <sheet name="产品宽度" sheetId="1" r:id="rId1"/>
    <sheet name="场景数字化" sheetId="2" r:id="rId2"/>
    <sheet name="潜力产品" sheetId="3" r:id="rId3"/>
    <sheet name="新品" sheetId="4" r:id="rId4"/>
  </sheets>
  <externalReferences>
    <externalReference r:id="rId5"/>
  </externalReferences>
  <definedNames>
    <definedName name="_xlnm._FilterDatabase" localSheetId="0" hidden="1">产品宽度!$A$1:$AJ$472</definedName>
    <definedName name="_xlnm._FilterDatabase" localSheetId="1" hidden="1">场景数字化!$F$1:$F$147</definedName>
    <definedName name="_xlnm._FilterDatabase" localSheetId="2" hidden="1">潜力产品!$F$1:$F$144</definedName>
    <definedName name="_xlnm._FilterDatabase" localSheetId="3" hidden="1">新品!$D$1:$D$81</definedName>
  </definedNames>
  <calcPr calcId="162913"/>
  <pivotCaches>
    <pivotCache cacheId="0" r:id="rId6"/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3" l="1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<sst xmlns="http://schemas.openxmlformats.org/spreadsheetml/2006/main" count="4749" uniqueCount="1084">
  <si>
    <t>业务中心</t>
  </si>
  <si>
    <t>日历年</t>
  </si>
  <si>
    <t>售达方</t>
  </si>
  <si>
    <t>交易方</t>
  </si>
  <si>
    <t>用户客户身份</t>
  </si>
  <si>
    <t>销售域账号（客户主数据 部门）</t>
  </si>
  <si>
    <t>CRM部门</t>
  </si>
  <si>
    <t>IPC</t>
  </si>
  <si>
    <t>球机</t>
  </si>
  <si>
    <t>专用摄像机</t>
  </si>
  <si>
    <t>服务器</t>
  </si>
  <si>
    <t>网络产品</t>
  </si>
  <si>
    <t>PC产品</t>
  </si>
  <si>
    <t>NVR</t>
  </si>
  <si>
    <t>存储</t>
  </si>
  <si>
    <t>LED与拼控</t>
  </si>
  <si>
    <t>LCD与解码</t>
  </si>
  <si>
    <t>智能交通</t>
  </si>
  <si>
    <t>移动终端产品</t>
  </si>
  <si>
    <t>出入口停车</t>
  </si>
  <si>
    <t>门禁</t>
  </si>
  <si>
    <t>对讲</t>
  </si>
  <si>
    <t>人员通道</t>
  </si>
  <si>
    <t>报警</t>
  </si>
  <si>
    <t>音频产品</t>
  </si>
  <si>
    <t>传感产品</t>
  </si>
  <si>
    <t>智慧屏与视频会议</t>
  </si>
  <si>
    <t>通用软件</t>
  </si>
  <si>
    <t>行业软件</t>
  </si>
  <si>
    <t>基础软件</t>
  </si>
  <si>
    <t>新业务（热成像/睿影/消防等）</t>
  </si>
  <si>
    <t>网络安全</t>
  </si>
  <si>
    <t>综合布线与机柜机房</t>
  </si>
  <si>
    <t>智能计算</t>
  </si>
  <si>
    <t>是否大于10w</t>
    <phoneticPr fontId="3" type="noConversion"/>
  </si>
  <si>
    <t>产品宽度合计</t>
    <phoneticPr fontId="3" type="noConversion"/>
  </si>
  <si>
    <t>深圳</t>
  </si>
  <si>
    <t>2026</t>
  </si>
  <si>
    <t>102158</t>
  </si>
  <si>
    <t>维谛技术有限公司</t>
  </si>
  <si>
    <t>合作伙伴&amp;最终用户</t>
  </si>
  <si>
    <t>陈刚sz</t>
  </si>
  <si>
    <t>客户销售二组</t>
  </si>
  <si>
    <t>是</t>
  </si>
  <si>
    <t>115462</t>
  </si>
  <si>
    <t>深圳市麦驰物联股份有限公司</t>
  </si>
  <si>
    <t>合作伙伴</t>
  </si>
  <si>
    <t>张宜军8</t>
  </si>
  <si>
    <t>客户销售四组</t>
  </si>
  <si>
    <t>115465</t>
  </si>
  <si>
    <t>深圳英飞拓仁用信息有限公司</t>
  </si>
  <si>
    <t>王嘉恺5</t>
  </si>
  <si>
    <t>客户销售一组</t>
  </si>
  <si>
    <t>否</t>
  </si>
  <si>
    <t>115482</t>
  </si>
  <si>
    <t>深圳市安车检测股份有限公司</t>
  </si>
  <si>
    <t>刘文宇5</t>
  </si>
  <si>
    <t>115488</t>
  </si>
  <si>
    <t>深圳畅想智慧建设有限公司</t>
  </si>
  <si>
    <t>段金君</t>
  </si>
  <si>
    <t>客户销售一部</t>
  </si>
  <si>
    <t>115490</t>
  </si>
  <si>
    <t>东深智水科技（深圳）股份有限公司</t>
  </si>
  <si>
    <t>王鹏旭</t>
  </si>
  <si>
    <t>客户销售三组</t>
  </si>
  <si>
    <t>115497</t>
  </si>
  <si>
    <t>深圳市合技自动化系统有限公司</t>
  </si>
  <si>
    <t>胡鹏17</t>
  </si>
  <si>
    <t>115575</t>
  </si>
  <si>
    <t>深圳昌恩智能股份有限公司</t>
  </si>
  <si>
    <t>115579</t>
  </si>
  <si>
    <t>深圳市利之宝电子有限公司</t>
  </si>
  <si>
    <t>张振德</t>
  </si>
  <si>
    <t>115596</t>
  </si>
  <si>
    <t>深圳市车安科技发展有限公司</t>
  </si>
  <si>
    <t>115618</t>
  </si>
  <si>
    <t>深圳市求卓科技有限公司</t>
  </si>
  <si>
    <t>彭威12</t>
  </si>
  <si>
    <t>115632</t>
  </si>
  <si>
    <t>深圳市正方体科技有限公司</t>
  </si>
  <si>
    <t>熊佳豪</t>
  </si>
  <si>
    <t>115639</t>
  </si>
  <si>
    <t>深圳市君恒利建设工程有限公司</t>
  </si>
  <si>
    <t>黄燕滨</t>
  </si>
  <si>
    <t>115680</t>
  </si>
  <si>
    <t>深圳市讯耐特科技有限公司</t>
  </si>
  <si>
    <t>罗肖福</t>
  </si>
  <si>
    <t>115694</t>
  </si>
  <si>
    <t>照源电子（深圳）有限公司</t>
  </si>
  <si>
    <t>115719</t>
  </si>
  <si>
    <t>深圳市飞华智能发展有限公司</t>
  </si>
  <si>
    <t>115722</t>
  </si>
  <si>
    <t>深圳市航通智能技术有限公司</t>
  </si>
  <si>
    <t>蔡均鑫</t>
  </si>
  <si>
    <t>115736</t>
  </si>
  <si>
    <t>深圳市金奥博科技股份有限公司</t>
  </si>
  <si>
    <t>陈春11</t>
  </si>
  <si>
    <t>115768</t>
  </si>
  <si>
    <t>深圳市中电电力技术股份有限公司</t>
  </si>
  <si>
    <t>115778</t>
  </si>
  <si>
    <t>城信科技股份有限公司</t>
  </si>
  <si>
    <t>梁资航5</t>
  </si>
  <si>
    <t>115797</t>
  </si>
  <si>
    <t>深圳市亚高智能科技有限公司</t>
  </si>
  <si>
    <t>徐志伟8</t>
  </si>
  <si>
    <t>119459</t>
  </si>
  <si>
    <t>深圳市峰鹏科技实业有限公司</t>
  </si>
  <si>
    <t>深圳市深海湾科技有限公司</t>
  </si>
  <si>
    <t>深圳市科达威科技有限公司</t>
  </si>
  <si>
    <t>119518</t>
  </si>
  <si>
    <t>深圳市科佳达科技有限公司</t>
  </si>
  <si>
    <t>119572</t>
  </si>
  <si>
    <t>深圳市飞铃智能系统集成有限公司</t>
  </si>
  <si>
    <t>119625</t>
  </si>
  <si>
    <t>深圳市大漠科技有限公司</t>
  </si>
  <si>
    <t>119627</t>
  </si>
  <si>
    <t>深圳市富晋天维信息通讯技术有限公司</t>
  </si>
  <si>
    <t>119641</t>
  </si>
  <si>
    <t>深圳市华安泰智能科技有限公司</t>
  </si>
  <si>
    <t>119644</t>
  </si>
  <si>
    <t>深圳市信诺兴技术有限公司</t>
  </si>
  <si>
    <t>119699</t>
  </si>
  <si>
    <t>深圳市瑞鸿安科技有限公司</t>
  </si>
  <si>
    <t>119700</t>
  </si>
  <si>
    <t>深圳市深佳科技发展有限公司</t>
  </si>
  <si>
    <t>高巍10</t>
  </si>
  <si>
    <t>119705</t>
  </si>
  <si>
    <t>深圳市万通网通信技术有限公司</t>
  </si>
  <si>
    <t>119718</t>
  </si>
  <si>
    <t>深圳市正杰智能工程有限公司</t>
  </si>
  <si>
    <t>121591</t>
  </si>
  <si>
    <t>广州市天园科技有限公司</t>
  </si>
  <si>
    <t>123523</t>
  </si>
  <si>
    <t>深圳市兆比特科技有限公司</t>
  </si>
  <si>
    <t>128921</t>
  </si>
  <si>
    <t>深圳市海威森科技有限公司</t>
  </si>
  <si>
    <t>131653</t>
  </si>
  <si>
    <t>深圳金三立视频科技股份有限公司</t>
  </si>
  <si>
    <t>132461</t>
  </si>
  <si>
    <t>深圳瑞思贝特科技有限公司</t>
  </si>
  <si>
    <t>陈伟添</t>
  </si>
  <si>
    <t>133788</t>
  </si>
  <si>
    <t>深圳市广信安科技股份有限公司</t>
  </si>
  <si>
    <t>134828</t>
  </si>
  <si>
    <t>深圳市天宇海科技有限公司</t>
  </si>
  <si>
    <t>135992</t>
  </si>
  <si>
    <t>深圳市森亚科技有限公司</t>
  </si>
  <si>
    <t>136100</t>
  </si>
  <si>
    <t>深圳市裕华盈峰科技有限公司</t>
  </si>
  <si>
    <t>136541</t>
  </si>
  <si>
    <t>深圳市康博雅科技有限公司</t>
  </si>
  <si>
    <t>136659</t>
  </si>
  <si>
    <t>深圳市长城网信息科技股份有限公司</t>
  </si>
  <si>
    <t>139322</t>
  </si>
  <si>
    <t>深圳市启航电子有限公司</t>
  </si>
  <si>
    <t>141704</t>
  </si>
  <si>
    <t>深圳市捷蓝特科技有限公司</t>
  </si>
  <si>
    <t>144033</t>
  </si>
  <si>
    <t>深圳市电信工程有限公司</t>
  </si>
  <si>
    <t>148722</t>
  </si>
  <si>
    <t>深圳市阔宏电子科技有限公司</t>
  </si>
  <si>
    <t>151201</t>
  </si>
  <si>
    <t>深圳市千祥记实业发展有限公司</t>
  </si>
  <si>
    <t>153119</t>
  </si>
  <si>
    <t>深圳市天汇世纪科技有限公司</t>
  </si>
  <si>
    <t>罗兴华</t>
  </si>
  <si>
    <t>153358</t>
  </si>
  <si>
    <t>深圳市盈宏科技发展有限公司</t>
  </si>
  <si>
    <t>沙坤</t>
  </si>
  <si>
    <t>154505</t>
  </si>
  <si>
    <t>深圳市翌日科技有限公司</t>
  </si>
  <si>
    <t>154982</t>
  </si>
  <si>
    <t>深圳市安星数字系统有限公司</t>
  </si>
  <si>
    <t>155999</t>
  </si>
  <si>
    <t>深圳市富士智能股份有限公司</t>
  </si>
  <si>
    <t>陈宁8</t>
  </si>
  <si>
    <t>159408</t>
  </si>
  <si>
    <t>深圳市安华计算机有限公司</t>
  </si>
  <si>
    <t>深圳市朗驰欣创科技股份有限公司</t>
  </si>
  <si>
    <t>160086</t>
  </si>
  <si>
    <t>深圳市精硕科技有限公司</t>
  </si>
  <si>
    <t>160146</t>
  </si>
  <si>
    <t>深圳市睿贵和科技发展有限公司</t>
  </si>
  <si>
    <t>164971</t>
  </si>
  <si>
    <t>深圳本贸科技股份有限公司</t>
  </si>
  <si>
    <t>166348</t>
  </si>
  <si>
    <t>索尔集团股份有限公司</t>
  </si>
  <si>
    <t>168619</t>
  </si>
  <si>
    <t>深圳市旗云智能科技有限公司</t>
  </si>
  <si>
    <t>168636</t>
  </si>
  <si>
    <t>深圳市奥图威尔科技有限公司</t>
  </si>
  <si>
    <t>168686</t>
  </si>
  <si>
    <t>深圳市罗克士电子有限公司</t>
  </si>
  <si>
    <t>深圳市行健自动化股份有限公司</t>
  </si>
  <si>
    <t>174741</t>
  </si>
  <si>
    <t>维谛技术（江门）有限公司</t>
  </si>
  <si>
    <t>175737</t>
  </si>
  <si>
    <t>深圳市豪恩安全防范技术有限公司</t>
  </si>
  <si>
    <t>176246</t>
  </si>
  <si>
    <t>碧兴物联科技（深圳）股份有限公司</t>
  </si>
  <si>
    <t>179283</t>
  </si>
  <si>
    <t>深圳鹊晢科技有限公司</t>
  </si>
  <si>
    <t>184792</t>
  </si>
  <si>
    <t>深圳市泰蔟科技有限公司</t>
  </si>
  <si>
    <t>188205</t>
  </si>
  <si>
    <t>哈博智能（深圳）股份有限公司</t>
  </si>
  <si>
    <t>188540</t>
  </si>
  <si>
    <t>深圳市世纪天任科技有限公司</t>
  </si>
  <si>
    <t>189069</t>
  </si>
  <si>
    <t>深圳市图敏智能视频股份有限公司</t>
  </si>
  <si>
    <t>189923</t>
  </si>
  <si>
    <t>深圳市安利集电子有限公司</t>
  </si>
  <si>
    <t>190267</t>
  </si>
  <si>
    <t>顺丰速运（惠州）有限公司</t>
  </si>
  <si>
    <t>最终用户</t>
  </si>
  <si>
    <t>孙天6</t>
  </si>
  <si>
    <t>191197</t>
  </si>
  <si>
    <t>顺丰速运有限公司</t>
  </si>
  <si>
    <t>191608</t>
  </si>
  <si>
    <t>深圳市智防科技有限公司</t>
  </si>
  <si>
    <t>192043</t>
  </si>
  <si>
    <t>深圳市睿鑫捷科技发展有限公司</t>
  </si>
  <si>
    <t>192739</t>
  </si>
  <si>
    <t>深圳赛瑞尔科技有限公司</t>
  </si>
  <si>
    <t>193759</t>
  </si>
  <si>
    <t>深圳市海星实业发展有限公司</t>
  </si>
  <si>
    <t>195829</t>
  </si>
  <si>
    <t>深圳市动车电气股份有限公司</t>
  </si>
  <si>
    <t>196664</t>
  </si>
  <si>
    <t>深圳市华登科技实业有限公司</t>
  </si>
  <si>
    <t>197842</t>
  </si>
  <si>
    <t>上海顺衡物流有限公司</t>
  </si>
  <si>
    <t>197843</t>
  </si>
  <si>
    <t>宁波顺丰速运有限公司</t>
  </si>
  <si>
    <t>197866</t>
  </si>
  <si>
    <t>广西顺丰速运有限公司</t>
  </si>
  <si>
    <t>197871</t>
  </si>
  <si>
    <t>佛山顺丰速运有限公司</t>
  </si>
  <si>
    <t>197881</t>
  </si>
  <si>
    <t>泉州顺丰运输有限公司</t>
  </si>
  <si>
    <t>198485</t>
  </si>
  <si>
    <t>温州顺衡速运有限公司</t>
  </si>
  <si>
    <t>199762</t>
  </si>
  <si>
    <t>深圳市华融天成科技有限公司</t>
  </si>
  <si>
    <t>200057</t>
  </si>
  <si>
    <t>深圳市网讯通计算机网络技术有限公司</t>
  </si>
  <si>
    <t>200079</t>
  </si>
  <si>
    <t>青岛顺丰速运有限公司</t>
  </si>
  <si>
    <t>200107</t>
  </si>
  <si>
    <t>新疆顺丰速运有限公司</t>
  </si>
  <si>
    <t>200117</t>
  </si>
  <si>
    <t>淮安顺丰速运有限公司</t>
  </si>
  <si>
    <t>200137</t>
  </si>
  <si>
    <t>江苏顺丰速运有限公司</t>
  </si>
  <si>
    <t>200146</t>
  </si>
  <si>
    <t>顺丰速运集团（上海）速运有限公司</t>
  </si>
  <si>
    <t>200147</t>
  </si>
  <si>
    <t>浙江顺丰速运有限公司</t>
  </si>
  <si>
    <t>200986</t>
  </si>
  <si>
    <t>河北顺丰速运有限公司</t>
  </si>
  <si>
    <t>201013</t>
  </si>
  <si>
    <t>北京顺城物流有限公司</t>
  </si>
  <si>
    <t>201153</t>
  </si>
  <si>
    <t>深圳市红光达科技有限公司</t>
  </si>
  <si>
    <t>201353</t>
  </si>
  <si>
    <t>深圳市龙运科技有限公司</t>
  </si>
  <si>
    <t>201523</t>
  </si>
  <si>
    <t>厦门市顺丰速运有限公司</t>
  </si>
  <si>
    <t>201969</t>
  </si>
  <si>
    <t>宁德市顺丰速运有限公司</t>
  </si>
  <si>
    <t>202070</t>
  </si>
  <si>
    <t>江西顺丰速运有限公司</t>
  </si>
  <si>
    <t>202071</t>
  </si>
  <si>
    <t>北京顺丰速运有限公司</t>
  </si>
  <si>
    <t>202076</t>
  </si>
  <si>
    <t>中山顺丰速运有限公司</t>
  </si>
  <si>
    <t>202077</t>
  </si>
  <si>
    <t>山东顺丰速运有限公司</t>
  </si>
  <si>
    <t>202078</t>
  </si>
  <si>
    <t>顺丰运输（常州）有限公司</t>
  </si>
  <si>
    <t>202080</t>
  </si>
  <si>
    <t>无锡市顺丰速运有限公司</t>
  </si>
  <si>
    <t>202094</t>
  </si>
  <si>
    <t>盐城顺丰速运有限公司</t>
  </si>
  <si>
    <t>202713</t>
  </si>
  <si>
    <t>深圳市惠安电子技术有限公司</t>
  </si>
  <si>
    <t>202830</t>
  </si>
  <si>
    <t>三明市顺丰速运有限公司</t>
  </si>
  <si>
    <t>203640</t>
  </si>
  <si>
    <t>揭阳市顺丰速运有限公司</t>
  </si>
  <si>
    <t>203672</t>
  </si>
  <si>
    <t>湖南顺丰速运有限公司</t>
  </si>
  <si>
    <t>203676</t>
  </si>
  <si>
    <t>陕西顺丰速运有限公司</t>
  </si>
  <si>
    <t>203677</t>
  </si>
  <si>
    <t>大连顺丰速运有限公司</t>
  </si>
  <si>
    <t>203678</t>
  </si>
  <si>
    <t>吉林省顺丰速递有限公司</t>
  </si>
  <si>
    <t>203693</t>
  </si>
  <si>
    <t>安徽顺丰速运有限公司</t>
  </si>
  <si>
    <t>203701</t>
  </si>
  <si>
    <t>台州顺丰速运有限公司</t>
  </si>
  <si>
    <t>203703</t>
  </si>
  <si>
    <t>顺丰速运重庆有限公司</t>
  </si>
  <si>
    <t>204009</t>
  </si>
  <si>
    <t>兰州顺丰速运有限公司</t>
  </si>
  <si>
    <t>204409</t>
  </si>
  <si>
    <t>湖北顺丰速运有限公司</t>
  </si>
  <si>
    <t>204438</t>
  </si>
  <si>
    <t>贵州顺丰速运有限公司</t>
  </si>
  <si>
    <t>204441</t>
  </si>
  <si>
    <t>云南顺丰速运有限公司</t>
  </si>
  <si>
    <t>205242</t>
  </si>
  <si>
    <t>山西顺丰速运有限公司</t>
  </si>
  <si>
    <t>205467</t>
  </si>
  <si>
    <t>四川顺丰速运有限公司</t>
  </si>
  <si>
    <t>205585</t>
  </si>
  <si>
    <t>深圳市国保安防集团有限公司</t>
  </si>
  <si>
    <t>205633</t>
  </si>
  <si>
    <t>河南省顺丰速运有限公司</t>
  </si>
  <si>
    <t>205634</t>
  </si>
  <si>
    <t>广州顺丰速运有限公司</t>
  </si>
  <si>
    <t>206069</t>
  </si>
  <si>
    <t>绍兴顺丰速运有限公司</t>
  </si>
  <si>
    <t>206774</t>
  </si>
  <si>
    <t>深圳市海威达科技有限公司</t>
  </si>
  <si>
    <t>206849</t>
  </si>
  <si>
    <t>舟山顺丰速运有限公司</t>
  </si>
  <si>
    <t>206891</t>
  </si>
  <si>
    <t>顺丰速运（沈阳）有限公司</t>
  </si>
  <si>
    <t>207526</t>
  </si>
  <si>
    <t>苏州顺丰速运有限公司</t>
  </si>
  <si>
    <t>209858</t>
  </si>
  <si>
    <t>顺丰航空有限公司</t>
  </si>
  <si>
    <t>210211</t>
  </si>
  <si>
    <t>江苏顺丰通讯服务有限公司</t>
  </si>
  <si>
    <t>211113</t>
  </si>
  <si>
    <t>深圳市正翔泰科技有限公司</t>
  </si>
  <si>
    <t>212437</t>
  </si>
  <si>
    <t>天津顺丰速递有限公司</t>
  </si>
  <si>
    <t>212666</t>
  </si>
  <si>
    <t>深圳市平方科技股份有限公司</t>
  </si>
  <si>
    <t>212672</t>
  </si>
  <si>
    <t>湖北顺丰运输有限公司</t>
  </si>
  <si>
    <t>213744</t>
  </si>
  <si>
    <t>深圳市时代尖端科技发展有限公司</t>
  </si>
  <si>
    <t>213877</t>
  </si>
  <si>
    <t>深圳市顺丰供应链有限公司</t>
  </si>
  <si>
    <t>213986</t>
  </si>
  <si>
    <t>深圳市坦成科技有限公司</t>
  </si>
  <si>
    <t>214363</t>
  </si>
  <si>
    <t>深圳市哈德莱智能系统工程有限公司</t>
  </si>
  <si>
    <t>215074</t>
  </si>
  <si>
    <t>淮安市丰泰电商产业园管理有限公司</t>
  </si>
  <si>
    <t>217008</t>
  </si>
  <si>
    <t>深圳市中航深亚智能科技有限公司</t>
  </si>
  <si>
    <t>217837</t>
  </si>
  <si>
    <t>深圳市博铭维技术股份有限公司</t>
  </si>
  <si>
    <t>218746</t>
  </si>
  <si>
    <t>深圳市美佳众科技有限公司</t>
  </si>
  <si>
    <t>220217</t>
  </si>
  <si>
    <t>湖北智莱科技有限公司</t>
  </si>
  <si>
    <t>224253</t>
  </si>
  <si>
    <t>招商局国际科技有限公司</t>
  </si>
  <si>
    <t>224296</t>
  </si>
  <si>
    <t>深圳市卓越信息技术有限公司</t>
  </si>
  <si>
    <t>226507</t>
  </si>
  <si>
    <t>深圳捷易建设集团有限公司</t>
  </si>
  <si>
    <t>228259</t>
  </si>
  <si>
    <t>顺丰科技有限公司</t>
  </si>
  <si>
    <t>230507</t>
  </si>
  <si>
    <t>上海顺城物流有限公司</t>
  </si>
  <si>
    <t>231989</t>
  </si>
  <si>
    <t>深圳市众志天成科技有限公司</t>
  </si>
  <si>
    <t>232535</t>
  </si>
  <si>
    <t>深圳市明佳交通设施有限公司</t>
  </si>
  <si>
    <t>232675</t>
  </si>
  <si>
    <t>山东顺丰速运有限公司临沂分公司</t>
  </si>
  <si>
    <t>233604</t>
  </si>
  <si>
    <t>重庆汇益丰物流有限公司</t>
  </si>
  <si>
    <t>233692</t>
  </si>
  <si>
    <t>泉州顺路物流有限公司</t>
  </si>
  <si>
    <t>233718</t>
  </si>
  <si>
    <t>武汉中电国为技术有限公司</t>
  </si>
  <si>
    <t>234745</t>
  </si>
  <si>
    <t>深圳市歌华智能科技有限公司</t>
  </si>
  <si>
    <t>235708</t>
  </si>
  <si>
    <t>深圳市粤港科技有限公司</t>
  </si>
  <si>
    <t>235784</t>
  </si>
  <si>
    <t>深圳市丰修科技有限公司</t>
  </si>
  <si>
    <t>236752</t>
  </si>
  <si>
    <t>西安顺路物流有限公司</t>
  </si>
  <si>
    <t>240829</t>
  </si>
  <si>
    <t>深圳市金安兴业科技有限公司</t>
  </si>
  <si>
    <t>范富山</t>
  </si>
  <si>
    <t>243049</t>
  </si>
  <si>
    <t>深圳市数通智能有限公司</t>
  </si>
  <si>
    <t>244528</t>
  </si>
  <si>
    <t>武汉华兴时代控股有限公司</t>
  </si>
  <si>
    <t>245895</t>
  </si>
  <si>
    <t>泰创科技股份有限公司</t>
  </si>
  <si>
    <t>252938</t>
  </si>
  <si>
    <t>深圳市汉默瑞电子有限公司</t>
  </si>
  <si>
    <t>254845</t>
  </si>
  <si>
    <t>深圳市星河智善科技有限公司</t>
  </si>
  <si>
    <t>深圳市乐安视智能科技有限公司</t>
  </si>
  <si>
    <t>257282</t>
  </si>
  <si>
    <t>深圳市宇泰华数字技术有限公司</t>
  </si>
  <si>
    <t>262359</t>
  </si>
  <si>
    <t>深圳市西格派科技有限公司</t>
  </si>
  <si>
    <t>262913</t>
  </si>
  <si>
    <t>深圳市广仁优博科技有限公司</t>
  </si>
  <si>
    <t>264118</t>
  </si>
  <si>
    <t>深圳市信泰诚信息技术有限公司</t>
  </si>
  <si>
    <t>269080</t>
  </si>
  <si>
    <t>深圳市泛在联通科技有限公司</t>
  </si>
  <si>
    <t>269535</t>
  </si>
  <si>
    <t>深圳市鸿顺捷电子有限公司</t>
  </si>
  <si>
    <t>269558</t>
  </si>
  <si>
    <t>深圳市麦斯杰网络有限公司</t>
  </si>
  <si>
    <t>271887</t>
  </si>
  <si>
    <t>深圳市深传科技集团有限公司</t>
  </si>
  <si>
    <t>272518</t>
  </si>
  <si>
    <t>深圳市沅欣智能科技有限公司</t>
  </si>
  <si>
    <t>273103</t>
  </si>
  <si>
    <t>深圳时立方科技有限公司</t>
  </si>
  <si>
    <t>273221</t>
  </si>
  <si>
    <t>深圳智慧赛宁科技有限公司</t>
  </si>
  <si>
    <t>273346</t>
  </si>
  <si>
    <t>宁波市丰泰电商产业园管理有限公司</t>
  </si>
  <si>
    <t>274030</t>
  </si>
  <si>
    <t>深圳市华航星科技有限公司</t>
  </si>
  <si>
    <t>275058</t>
  </si>
  <si>
    <t>深圳市科荣软件股份有限公司</t>
  </si>
  <si>
    <t>275718</t>
  </si>
  <si>
    <t>深圳爱克莱特科技股份有限公司</t>
  </si>
  <si>
    <t>282170</t>
  </si>
  <si>
    <t>深圳市讯达通通信设备有限公司</t>
  </si>
  <si>
    <t>283345</t>
  </si>
  <si>
    <t>深圳市华科成长软件有限公司</t>
  </si>
  <si>
    <t>284688</t>
  </si>
  <si>
    <t>深圳市海恒智能科技有限公司</t>
  </si>
  <si>
    <t>285941</t>
  </si>
  <si>
    <t>深圳市金泉和科技有限公司</t>
  </si>
  <si>
    <t>286386</t>
  </si>
  <si>
    <t>深圳市新纵横科技有限公司</t>
  </si>
  <si>
    <t>287169</t>
  </si>
  <si>
    <t>深圳市普源实业有限公司</t>
  </si>
  <si>
    <t>288666</t>
  </si>
  <si>
    <t>深圳市盛辉腾科技有限公司</t>
  </si>
  <si>
    <t>288796</t>
  </si>
  <si>
    <t>深圳市天和时代电子设备制造有限公司</t>
  </si>
  <si>
    <t>288959</t>
  </si>
  <si>
    <t>深圳华初科技有限公司</t>
  </si>
  <si>
    <t>289898</t>
  </si>
  <si>
    <t>深圳市楚恒通智能科技有限公司</t>
  </si>
  <si>
    <t>291281</t>
  </si>
  <si>
    <t>深圳市扬科科技有限公司</t>
  </si>
  <si>
    <t>297660</t>
  </si>
  <si>
    <t>深圳市锐捷思通科技有限公司</t>
  </si>
  <si>
    <t>301036</t>
  </si>
  <si>
    <t>深圳市宇达伟业科技有限公司</t>
  </si>
  <si>
    <t>301438</t>
  </si>
  <si>
    <t>广东源禾智智能科技有限公司深圳分公司</t>
  </si>
  <si>
    <t>304766</t>
  </si>
  <si>
    <t>视昀科技（深圳）有限公司</t>
  </si>
  <si>
    <t>305467</t>
  </si>
  <si>
    <t>深圳英飞拓智能技术有限公司</t>
  </si>
  <si>
    <t>305676</t>
  </si>
  <si>
    <t>深圳市邦贝尔电子有限公司</t>
  </si>
  <si>
    <t>306640</t>
  </si>
  <si>
    <t>深圳市跨越速运有限公司</t>
  </si>
  <si>
    <t>张栋柱</t>
  </si>
  <si>
    <t>308836</t>
  </si>
  <si>
    <t>深圳市鼎士建设工程有限公司</t>
  </si>
  <si>
    <t>309700</t>
  </si>
  <si>
    <t>深圳市秋藤树智能科技有限公司</t>
  </si>
  <si>
    <t>309880</t>
  </si>
  <si>
    <t>深圳平行数据有限公司</t>
  </si>
  <si>
    <t>310096</t>
  </si>
  <si>
    <t>深圳市乾海诚为科技有限公司</t>
  </si>
  <si>
    <t>310834</t>
  </si>
  <si>
    <t>深圳市傲天科技股份有限公司</t>
  </si>
  <si>
    <t>313236</t>
  </si>
  <si>
    <t>深圳市青云酒店信息技术有限公司</t>
  </si>
  <si>
    <t>315607</t>
  </si>
  <si>
    <t>深圳市德立云物联网科技有限公司</t>
  </si>
  <si>
    <t>316152</t>
  </si>
  <si>
    <t>深圳市立卓科技有限公司</t>
  </si>
  <si>
    <t>316658</t>
  </si>
  <si>
    <t>深圳市凯德讯科技有限公司</t>
  </si>
  <si>
    <t>317574</t>
  </si>
  <si>
    <t>深圳市智享视觉科技有限公司</t>
  </si>
  <si>
    <t>317641</t>
  </si>
  <si>
    <t>深圳鼎鑫鹏翔科技有限公司</t>
  </si>
  <si>
    <t>322420</t>
  </si>
  <si>
    <t>通九州信息（深圳）有限公司</t>
  </si>
  <si>
    <t>323836</t>
  </si>
  <si>
    <t>深圳市丰宜科技集团股份有限公司</t>
  </si>
  <si>
    <t>323884</t>
  </si>
  <si>
    <t>合肥市丰泰电商产业园管理有限公司</t>
  </si>
  <si>
    <t>329078</t>
  </si>
  <si>
    <t>深圳市惠众网络通信有限公司</t>
  </si>
  <si>
    <t>329737</t>
  </si>
  <si>
    <t>深圳市海鹰实业有限公司</t>
  </si>
  <si>
    <t>330726</t>
  </si>
  <si>
    <t>深圳市亿阳信通技术有限公司</t>
  </si>
  <si>
    <t>333619</t>
  </si>
  <si>
    <t>深圳市智佳能自动化有限公司</t>
  </si>
  <si>
    <t>334302</t>
  </si>
  <si>
    <t>江苏跨航贸易有限公司</t>
  </si>
  <si>
    <t>335619</t>
  </si>
  <si>
    <t>深圳市川力物流有限公司</t>
  </si>
  <si>
    <t>深圳瑞达网络科技有限公司</t>
  </si>
  <si>
    <t>335644</t>
  </si>
  <si>
    <t>深圳市华一软件开发有限公司</t>
  </si>
  <si>
    <t>335767</t>
  </si>
  <si>
    <t>广东雷葳网络建设有限公司</t>
  </si>
  <si>
    <t>336507</t>
  </si>
  <si>
    <t>深圳市中饰南方建设工程有限公司</t>
  </si>
  <si>
    <t>337203</t>
  </si>
  <si>
    <t>深圳铠甲信息技术有限公司</t>
  </si>
  <si>
    <t>337872</t>
  </si>
  <si>
    <t>深圳市德宝智能科技有限公司</t>
  </si>
  <si>
    <t>340105</t>
  </si>
  <si>
    <t>深圳市垚顺科技有限公司</t>
  </si>
  <si>
    <t>340421</t>
  </si>
  <si>
    <t>浙江双捷供应链科技有限公司</t>
  </si>
  <si>
    <t>345544</t>
  </si>
  <si>
    <t>深圳市威宇智能技术有限公司</t>
  </si>
  <si>
    <t>352462</t>
  </si>
  <si>
    <t>深圳市金晓科技有限公司</t>
  </si>
  <si>
    <t>352553</t>
  </si>
  <si>
    <t>深圳瑞捷技术股份有限公司</t>
  </si>
  <si>
    <t>353223</t>
  </si>
  <si>
    <t>深圳市能安达科技有限公司</t>
  </si>
  <si>
    <t>353418</t>
  </si>
  <si>
    <t>深圳市恒鹰驰科技有限公司</t>
  </si>
  <si>
    <t>353902</t>
  </si>
  <si>
    <t>深圳市傲天医疗智能系统有限公司</t>
  </si>
  <si>
    <t>355329</t>
  </si>
  <si>
    <t>深圳市赛飞特科技发展有限公司</t>
  </si>
  <si>
    <t>355401</t>
  </si>
  <si>
    <t>深圳市东兴建设有限公司</t>
  </si>
  <si>
    <t>357201</t>
  </si>
  <si>
    <t>深圳市方联伟业科技有限公司</t>
  </si>
  <si>
    <t>深圳江行联加智能科技有限公司</t>
  </si>
  <si>
    <t>360809</t>
  </si>
  <si>
    <t>广东省康网星科技有限公司</t>
  </si>
  <si>
    <t>深圳市锐天盛世智能科技有限公司</t>
  </si>
  <si>
    <t>361539</t>
  </si>
  <si>
    <t>深圳意丰科技有限公司</t>
  </si>
  <si>
    <t>362210</t>
  </si>
  <si>
    <t>深圳市澳亿电子科技有限公司</t>
  </si>
  <si>
    <t>362763</t>
  </si>
  <si>
    <t>深圳数联天下智能科技有限公司</t>
  </si>
  <si>
    <t>363582</t>
  </si>
  <si>
    <t>深圳市好拍档信息技术有限公司</t>
  </si>
  <si>
    <t>364157</t>
  </si>
  <si>
    <t>广东顺心快运有限公司</t>
  </si>
  <si>
    <t>364214</t>
  </si>
  <si>
    <t>深圳市华天致远科技有限公司</t>
  </si>
  <si>
    <t>365194</t>
  </si>
  <si>
    <t>深圳市志合伟创云科技有限公司</t>
  </si>
  <si>
    <t>366152</t>
  </si>
  <si>
    <t>深圳中鲲智能科技有限公司</t>
  </si>
  <si>
    <t>367280</t>
  </si>
  <si>
    <t>广州顺丰冷运供应链有限公司</t>
  </si>
  <si>
    <t>368033</t>
  </si>
  <si>
    <t>深圳市加讯电子有限公司</t>
  </si>
  <si>
    <t>368136</t>
  </si>
  <si>
    <t>深圳顺丰泰森控股（集团）有限公司</t>
  </si>
  <si>
    <t>371351</t>
  </si>
  <si>
    <t>北京真蓝无限科技有限公司</t>
  </si>
  <si>
    <t>372146</t>
  </si>
  <si>
    <t>鄂州顺路物流有限公司</t>
  </si>
  <si>
    <t>372317</t>
  </si>
  <si>
    <t>深圳市振兴光通信股份有限公司</t>
  </si>
  <si>
    <t>372669</t>
  </si>
  <si>
    <t>深圳市如歌科技有限公司</t>
  </si>
  <si>
    <t>372966</t>
  </si>
  <si>
    <t>深圳市光数互联科技有限公司</t>
  </si>
  <si>
    <t>373467</t>
  </si>
  <si>
    <t>深圳市欧森特科技有限公司</t>
  </si>
  <si>
    <t>374111</t>
  </si>
  <si>
    <t>深圳市诺域科技发展有限公司</t>
  </si>
  <si>
    <t>377965</t>
  </si>
  <si>
    <t>深圳市拓易思科技发展有限公司</t>
  </si>
  <si>
    <t>378784</t>
  </si>
  <si>
    <t>深圳驿加易科技有限公司</t>
  </si>
  <si>
    <t>379022</t>
  </si>
  <si>
    <t>深圳市艾特智能科技有限公司</t>
  </si>
  <si>
    <t>379795</t>
  </si>
  <si>
    <t>深圳市桐晟科技有限公司</t>
  </si>
  <si>
    <t>382199</t>
  </si>
  <si>
    <t>深圳市裕洪实业有限公司</t>
  </si>
  <si>
    <t>383273</t>
  </si>
  <si>
    <t>深圳腾力信息有限公司</t>
  </si>
  <si>
    <t>384220</t>
  </si>
  <si>
    <t>深圳市艾睿泽科技有限公司</t>
  </si>
  <si>
    <t>384740</t>
  </si>
  <si>
    <t>深圳市兴蕴德科技有限公司</t>
  </si>
  <si>
    <t>384820</t>
  </si>
  <si>
    <t>深圳市深科汇创智能科技有限公司</t>
  </si>
  <si>
    <t>388129</t>
  </si>
  <si>
    <t>深圳瑞信建筑科技有限公司</t>
  </si>
  <si>
    <t>390693</t>
  </si>
  <si>
    <t>深圳市瑞健医信科技有限公司</t>
  </si>
  <si>
    <t>392354</t>
  </si>
  <si>
    <t>深圳鲲云信息科技有限公司</t>
  </si>
  <si>
    <t>394452</t>
  </si>
  <si>
    <t>深圳市惠联网络技术有限公司</t>
  </si>
  <si>
    <t>396794</t>
  </si>
  <si>
    <t>南宁市丰预泰企业管理有限公司</t>
  </si>
  <si>
    <t>397866</t>
  </si>
  <si>
    <t>深圳盈泰利华技术有限责任公司</t>
  </si>
  <si>
    <t>398516</t>
  </si>
  <si>
    <t>肯特智能技术（深圳）股份有限公司</t>
  </si>
  <si>
    <t>398850</t>
  </si>
  <si>
    <t>金准智能技术有限公司</t>
  </si>
  <si>
    <t>399608</t>
  </si>
  <si>
    <t>深圳市明朗科技有限公司</t>
  </si>
  <si>
    <t>401273</t>
  </si>
  <si>
    <t>深圳市友联华科技有限公司</t>
  </si>
  <si>
    <t>402758</t>
  </si>
  <si>
    <t>深圳泛和科技有限公司</t>
  </si>
  <si>
    <t>404186</t>
  </si>
  <si>
    <t>明智科创（深圳）有限公司</t>
  </si>
  <si>
    <t>404659</t>
  </si>
  <si>
    <t>深圳市隆金科技有限公司</t>
  </si>
  <si>
    <t>405194</t>
  </si>
  <si>
    <t>深圳市芯臻宸科技有限公司</t>
  </si>
  <si>
    <t>深圳市皓驰安防科技有限公司</t>
  </si>
  <si>
    <t>407370</t>
  </si>
  <si>
    <t>南京丰泰产业园管理有限公司</t>
  </si>
  <si>
    <t>407531</t>
  </si>
  <si>
    <t>深圳市业勤工程有限公司</t>
  </si>
  <si>
    <t>408127</t>
  </si>
  <si>
    <t>恩凯福科技（深圳）有限公司</t>
  </si>
  <si>
    <t>410554</t>
  </si>
  <si>
    <t>广东中科巨匠建设有限公司</t>
  </si>
  <si>
    <t>412713</t>
  </si>
  <si>
    <t>万勋科技（深圳）有限公司</t>
  </si>
  <si>
    <t>412896</t>
  </si>
  <si>
    <t>深圳远石科技有限公司</t>
  </si>
  <si>
    <t>413485</t>
  </si>
  <si>
    <t>深圳市至能科技有限公司</t>
  </si>
  <si>
    <t>广东朗翼智像科技有限公司</t>
  </si>
  <si>
    <t>415885</t>
  </si>
  <si>
    <t>深圳市腾赛智建有限公司</t>
  </si>
  <si>
    <t>418059</t>
  </si>
  <si>
    <t>顶码（深圳）科技有限公司</t>
  </si>
  <si>
    <t>418424</t>
  </si>
  <si>
    <t>深圳曼顿科技有限公司</t>
  </si>
  <si>
    <t>419232</t>
  </si>
  <si>
    <t>深圳市永合创科技有限公司</t>
  </si>
  <si>
    <t>419325</t>
  </si>
  <si>
    <t>深圳海昽科技有限公司</t>
  </si>
  <si>
    <t>420725</t>
  </si>
  <si>
    <t>深圳市百如意科技有限公司</t>
  </si>
  <si>
    <t>421234</t>
  </si>
  <si>
    <t>深圳市福安通科技有限公司</t>
  </si>
  <si>
    <t>421511</t>
  </si>
  <si>
    <t>深圳绿米联创科技有限公司</t>
  </si>
  <si>
    <t>422183</t>
  </si>
  <si>
    <t>深圳市中德信通智能科技有限公司</t>
  </si>
  <si>
    <t>423116</t>
  </si>
  <si>
    <t>柳州市丰预泰产业园管理有限公司</t>
  </si>
  <si>
    <t>423174</t>
  </si>
  <si>
    <t>深圳市广视智创安防科技有限公司</t>
  </si>
  <si>
    <t>423187</t>
  </si>
  <si>
    <t>深圳市中科云腾信息科技有限公司</t>
  </si>
  <si>
    <t>423267</t>
  </si>
  <si>
    <t>厦门市丰预泰产业园管理有限公司</t>
  </si>
  <si>
    <t>423645</t>
  </si>
  <si>
    <t>深圳红蓝绿信息技术有限公司</t>
  </si>
  <si>
    <t>424645</t>
  </si>
  <si>
    <t>深圳市瑞塘科技有限公司</t>
  </si>
  <si>
    <t>424885</t>
  </si>
  <si>
    <t>深圳市中图信息技术有限公司</t>
  </si>
  <si>
    <t>425599</t>
  </si>
  <si>
    <t>广东深志联科技有限公司</t>
  </si>
  <si>
    <t>425778</t>
  </si>
  <si>
    <t>深圳市得科智能科技有限公司</t>
  </si>
  <si>
    <t>425984</t>
  </si>
  <si>
    <t>嘉兴丰预泰企业管理有限公司</t>
  </si>
  <si>
    <t>425985</t>
  </si>
  <si>
    <t>上海顺丰冷运供应链有限公司</t>
  </si>
  <si>
    <t>426751</t>
  </si>
  <si>
    <t>深圳市中创信诺科技有限公司</t>
  </si>
  <si>
    <t>428416</t>
  </si>
  <si>
    <t>深圳市晓润智慧科技有限公司</t>
  </si>
  <si>
    <t>431266</t>
  </si>
  <si>
    <t>中广深光电（深圳）有限公司</t>
  </si>
  <si>
    <t>431282</t>
  </si>
  <si>
    <t>深圳亿信云联科技有限公司</t>
  </si>
  <si>
    <t>436073</t>
  </si>
  <si>
    <t>深圳市晨数科技有限公司</t>
  </si>
  <si>
    <t>437871</t>
  </si>
  <si>
    <t>深圳市智天下科技有限公司</t>
  </si>
  <si>
    <t>438292</t>
  </si>
  <si>
    <t>深圳市米乐生活科技有限公司</t>
  </si>
  <si>
    <t>438433</t>
  </si>
  <si>
    <t>深圳市华南腾飞科技有限公司</t>
  </si>
  <si>
    <t>438866</t>
  </si>
  <si>
    <t>深圳市特区建工科工集团建设有限公司</t>
  </si>
  <si>
    <t>441730</t>
  </si>
  <si>
    <t>深圳市福田区泰鑫赛诺电子商行</t>
  </si>
  <si>
    <t>442560</t>
  </si>
  <si>
    <t>深圳市高远达科技有限公司</t>
  </si>
  <si>
    <t>443349</t>
  </si>
  <si>
    <t>深圳市丰泰产业园管理服务有限公司</t>
  </si>
  <si>
    <t>443752</t>
  </si>
  <si>
    <t>深圳市森安科技有限公司</t>
  </si>
  <si>
    <t>444284</t>
  </si>
  <si>
    <t>广东联程实业科技有限公司</t>
  </si>
  <si>
    <t>446600</t>
  </si>
  <si>
    <t>深圳市彩麒麟装饰设计工程有限公司</t>
  </si>
  <si>
    <t>449705</t>
  </si>
  <si>
    <t>时代高科技设备（赣州）有限公司</t>
  </si>
  <si>
    <t>450878</t>
  </si>
  <si>
    <t>深圳市晶元商显科技有限公司</t>
  </si>
  <si>
    <t>451683</t>
  </si>
  <si>
    <t>深圳卡多尼人工智能技术有限公司</t>
  </si>
  <si>
    <t>451690</t>
  </si>
  <si>
    <t>深圳市阳启科技有限公司</t>
  </si>
  <si>
    <t>451754</t>
  </si>
  <si>
    <t>深圳市沐腾科技有限公司</t>
  </si>
  <si>
    <t>453883</t>
  </si>
  <si>
    <t>深圳市海康云屏科技有限公司</t>
  </si>
  <si>
    <t>454005</t>
  </si>
  <si>
    <t>深圳小铁文娱科技有限公司</t>
  </si>
  <si>
    <t>454553</t>
  </si>
  <si>
    <t>深圳市沉浸视觉科技有限公司</t>
  </si>
  <si>
    <t>456845</t>
  </si>
  <si>
    <t>深圳文达智通技术有限公司</t>
  </si>
  <si>
    <t>457234</t>
  </si>
  <si>
    <t>南通市丰泰企业管理有限公司</t>
  </si>
  <si>
    <t>460021</t>
  </si>
  <si>
    <t>上海泰亘润企业管理有限公司</t>
  </si>
  <si>
    <t>463085</t>
  </si>
  <si>
    <t>深圳市安普联讯科技有限公司</t>
  </si>
  <si>
    <t>463687</t>
  </si>
  <si>
    <t>深圳市大江智能化有限公司</t>
  </si>
  <si>
    <t>465202</t>
  </si>
  <si>
    <t>深圳市鹰瞳智能技术有限公司</t>
  </si>
  <si>
    <t>466496</t>
  </si>
  <si>
    <t>北京顺丰冷链物流有限公司</t>
  </si>
  <si>
    <t>466648</t>
  </si>
  <si>
    <t>深圳市泓弛信息技术有限公司</t>
  </si>
  <si>
    <t>466777</t>
  </si>
  <si>
    <t>深圳市龙保科技服务有限公司</t>
  </si>
  <si>
    <t>466864</t>
  </si>
  <si>
    <t>东莞丰泰企业管理有限公司</t>
  </si>
  <si>
    <t>467614</t>
  </si>
  <si>
    <t>深圳市联捷诚科技有限公司</t>
  </si>
  <si>
    <t>470343</t>
  </si>
  <si>
    <t>广东智亿旭科技有限公司</t>
  </si>
  <si>
    <t>471081</t>
  </si>
  <si>
    <t>深圳捷众智能科技有限公司</t>
  </si>
  <si>
    <t>471419</t>
  </si>
  <si>
    <t>深圳市科庆电子有限公司</t>
  </si>
  <si>
    <t>471627</t>
  </si>
  <si>
    <t>深圳市悦音科技有限公司</t>
  </si>
  <si>
    <t>474498</t>
  </si>
  <si>
    <t>中科元景智能（深圳）有限公司</t>
  </si>
  <si>
    <t>474787</t>
  </si>
  <si>
    <t>深圳市松清科技有限公司</t>
  </si>
  <si>
    <t>477990</t>
  </si>
  <si>
    <t>顺丰（宁波）物流科技有限公司</t>
  </si>
  <si>
    <t>478590</t>
  </si>
  <si>
    <t>奥朗视讯科技（深圳）有限公司</t>
  </si>
  <si>
    <t>479182</t>
  </si>
  <si>
    <t>深圳市轩辕天恩科技有限公司</t>
  </si>
  <si>
    <t>479884</t>
  </si>
  <si>
    <t>深圳市珍晨科技有限公司</t>
  </si>
  <si>
    <t>480851</t>
  </si>
  <si>
    <t>深圳市榕桑科技有限公司</t>
  </si>
  <si>
    <t>481258</t>
  </si>
  <si>
    <t>深圳市杨子智能机电工程有限公司</t>
  </si>
  <si>
    <t>481867</t>
  </si>
  <si>
    <t>深圳市鑫天成网络科技有限公司</t>
  </si>
  <si>
    <t>483887</t>
  </si>
  <si>
    <t>深圳市红檬智慧科技有限公司</t>
  </si>
  <si>
    <t>484703</t>
  </si>
  <si>
    <t>深圳市深汇联电子科技有限公司</t>
  </si>
  <si>
    <t>484769</t>
  </si>
  <si>
    <t>深圳市威兆赛康科技有限公司</t>
  </si>
  <si>
    <t>484832</t>
  </si>
  <si>
    <t>深圳市孚为智能科技有限公司</t>
  </si>
  <si>
    <t>484908</t>
  </si>
  <si>
    <t>深圳市伊建科技有限公司</t>
  </si>
  <si>
    <t>485419</t>
  </si>
  <si>
    <t>深圳鸿孚志合科技有限公司</t>
  </si>
  <si>
    <t>485964</t>
  </si>
  <si>
    <t>深圳市霁熙互联网技术服务有限责任公司</t>
  </si>
  <si>
    <t>485968</t>
  </si>
  <si>
    <t>深圳市经恒智联科技有限公司</t>
  </si>
  <si>
    <t>486945</t>
  </si>
  <si>
    <t>深圳金流科技有限公司</t>
  </si>
  <si>
    <t>487694</t>
  </si>
  <si>
    <t>金华市捷泰企业管理有限公司</t>
  </si>
  <si>
    <t>494019</t>
  </si>
  <si>
    <t>深圳市瓴筑科技有限公司</t>
  </si>
  <si>
    <t>494529</t>
  </si>
  <si>
    <t>深圳市星环能源技术有限公司</t>
  </si>
  <si>
    <t>495611</t>
  </si>
  <si>
    <t>深圳市叁贰零科技有限公司</t>
  </si>
  <si>
    <t>496329</t>
  </si>
  <si>
    <t>深圳鹏耘科技有限公司</t>
  </si>
  <si>
    <t>498914</t>
  </si>
  <si>
    <t>深圳市智元未来科技有限公司</t>
  </si>
  <si>
    <t>499441</t>
  </si>
  <si>
    <t>深圳市城慧科技有限公司</t>
  </si>
  <si>
    <t>499565</t>
  </si>
  <si>
    <t>深圳市兴隆建设工程有限公司</t>
  </si>
  <si>
    <t>500514</t>
  </si>
  <si>
    <t>深圳市科慧电子科技有限公司</t>
  </si>
  <si>
    <t>503617</t>
  </si>
  <si>
    <t>深圳市沅朗科技有限公司</t>
  </si>
  <si>
    <t>507591</t>
  </si>
  <si>
    <t>深圳珺泽科技有限公司</t>
  </si>
  <si>
    <t>508007</t>
  </si>
  <si>
    <t>深圳市南方宏盛建筑工程有限公司</t>
  </si>
  <si>
    <t>508429</t>
  </si>
  <si>
    <t>深圳市众云网有限公司</t>
  </si>
  <si>
    <t>508439</t>
  </si>
  <si>
    <t>深圳睿安智巡科技有限公司</t>
  </si>
  <si>
    <t>509743</t>
  </si>
  <si>
    <t>深圳市索为资讯科技有限公司</t>
  </si>
  <si>
    <t>510161</t>
  </si>
  <si>
    <t>深圳源海通信科技有限公司</t>
  </si>
  <si>
    <t>512881</t>
  </si>
  <si>
    <t>深圳市谦勃科技有限公司</t>
  </si>
  <si>
    <t>512999</t>
  </si>
  <si>
    <t>深圳市普钜科技有限公司</t>
  </si>
  <si>
    <t>515169</t>
  </si>
  <si>
    <t>深圳市麦视电子有限公司</t>
  </si>
  <si>
    <t>515387</t>
  </si>
  <si>
    <t>中电建水环境科技有限公司</t>
  </si>
  <si>
    <t>517431</t>
  </si>
  <si>
    <t>顺新晖（广州）供应链管理服务有限公司厦门分公司</t>
  </si>
  <si>
    <t>517434</t>
  </si>
  <si>
    <t>顺新晖（广州）供应链管理服务有限公司深圳分公司</t>
  </si>
  <si>
    <t>517437</t>
  </si>
  <si>
    <t>顺新晖（北京）供应链管理有限公司沈阳分公司</t>
  </si>
  <si>
    <t>517438</t>
  </si>
  <si>
    <t>顺新晖（上海）供应链管理有限公司昆山分公司</t>
  </si>
  <si>
    <t>519687</t>
  </si>
  <si>
    <t>四川捷预泰企业管理有限公司</t>
  </si>
  <si>
    <t>521781</t>
  </si>
  <si>
    <t>深圳小铁文娱品牌设计有限公司</t>
  </si>
  <si>
    <t>521784</t>
  </si>
  <si>
    <t>深圳南星科工有限公司</t>
  </si>
  <si>
    <t>522422</t>
  </si>
  <si>
    <t>海通科创（深圳）有限公司</t>
  </si>
  <si>
    <t>522821</t>
  </si>
  <si>
    <t>贵州宸福建设工程有限公司深圳分公司</t>
  </si>
  <si>
    <t>522990</t>
  </si>
  <si>
    <t>深圳市光数互联智能有限公司</t>
  </si>
  <si>
    <t>523482</t>
  </si>
  <si>
    <t>深圳市天智恒科技发展有限公司</t>
  </si>
  <si>
    <t>524374</t>
  </si>
  <si>
    <t>深圳市艾美视科技有限公司</t>
  </si>
  <si>
    <t>524633</t>
  </si>
  <si>
    <t>泛电达通（深圳）物联设备有限公司</t>
  </si>
  <si>
    <t>524732</t>
  </si>
  <si>
    <t>深圳市湘车汇汽车服务有限公司</t>
  </si>
  <si>
    <t>527452</t>
  </si>
  <si>
    <t>北京捷预泰企业管理有限公司</t>
  </si>
  <si>
    <t>531409</t>
  </si>
  <si>
    <t>深圳海昽智能科技有限公司</t>
  </si>
  <si>
    <t>532221</t>
  </si>
  <si>
    <t>深圳微云极客智能科技有限公司</t>
  </si>
  <si>
    <t>深圳市影美驰科技发展有限公司</t>
  </si>
  <si>
    <t>533648</t>
  </si>
  <si>
    <t>深圳市深安捷电子有限公司</t>
  </si>
  <si>
    <t>未分配</t>
  </si>
  <si>
    <t>534548</t>
  </si>
  <si>
    <t>深海精密科技（深圳）有限公司</t>
  </si>
  <si>
    <t>534888</t>
  </si>
  <si>
    <t>艾维智联科技（深圳）有限责任公司</t>
  </si>
  <si>
    <t>535427</t>
  </si>
  <si>
    <t>深圳市宝程发实业有限公司</t>
  </si>
  <si>
    <t>536304</t>
  </si>
  <si>
    <t>智慧巽飞科技（深圳）有限公司</t>
  </si>
  <si>
    <t>536404</t>
  </si>
  <si>
    <t>深圳宇贸星辰科技有限公司</t>
  </si>
  <si>
    <t>537017</t>
  </si>
  <si>
    <t>深圳市蓝牛信息技术有限公司</t>
  </si>
  <si>
    <t>537206</t>
  </si>
  <si>
    <t>深圳东风环境有限公司</t>
  </si>
  <si>
    <t>537295</t>
  </si>
  <si>
    <t>广东启明星智能科技工程有限公司</t>
  </si>
  <si>
    <t>537861</t>
  </si>
  <si>
    <t>深圳市得一工程有限公司</t>
  </si>
  <si>
    <t>537908</t>
  </si>
  <si>
    <t>深圳市设施之家科技有限公司</t>
  </si>
  <si>
    <t>538648</t>
  </si>
  <si>
    <t>深圳市福亿科技有限公司</t>
  </si>
  <si>
    <t>540884</t>
  </si>
  <si>
    <t>深圳市雄伟智慧交通科技有限公司</t>
  </si>
  <si>
    <t>541145</t>
  </si>
  <si>
    <t>深圳市金昱鑫科技有限公司</t>
  </si>
  <si>
    <t>541331</t>
  </si>
  <si>
    <t>深圳市灵枢智显科技有限公司</t>
  </si>
  <si>
    <t>541483</t>
  </si>
  <si>
    <t>深圳市楠辉科技有限公司</t>
  </si>
  <si>
    <t>541708</t>
  </si>
  <si>
    <t>深圳市鸿景通讯有限公司</t>
  </si>
  <si>
    <t>541755</t>
  </si>
  <si>
    <t>淮安市丰预泰企业管理有限公司</t>
  </si>
  <si>
    <t>543549</t>
  </si>
  <si>
    <t>深圳优影智能医疗器械有限公司</t>
  </si>
  <si>
    <t>543885</t>
  </si>
  <si>
    <t>深圳市宇泰科技有限公司</t>
  </si>
  <si>
    <t>545157</t>
  </si>
  <si>
    <t>深圳市鲲鹏视讯科技有限公司</t>
  </si>
  <si>
    <t>545527</t>
  </si>
  <si>
    <t>深圳芸智慧科技有限公司</t>
  </si>
  <si>
    <t>545580</t>
  </si>
  <si>
    <t>湖北优翔建筑工程有限公司</t>
  </si>
  <si>
    <t>547285</t>
  </si>
  <si>
    <t>深圳市力合数字化科技有限公司</t>
  </si>
  <si>
    <t>548937</t>
  </si>
  <si>
    <t>深圳市犀锐生物科技有限公司</t>
  </si>
  <si>
    <t>549262</t>
  </si>
  <si>
    <t>深圳市慧网通实业有限公司</t>
  </si>
  <si>
    <t>551081</t>
  </si>
  <si>
    <t>深圳市浩邦智能科技有限公司</t>
  </si>
  <si>
    <t>551249</t>
  </si>
  <si>
    <t>深圳市意铭光电有限公司</t>
  </si>
  <si>
    <t>551374</t>
  </si>
  <si>
    <t>宁波海曙启天计算机有限公司</t>
  </si>
  <si>
    <t>551635</t>
  </si>
  <si>
    <t>深圳市鼎芯腾飞科技有限公司</t>
  </si>
  <si>
    <t>551859</t>
  </si>
  <si>
    <t>深圳泓鲲科技有限公司</t>
  </si>
  <si>
    <t>553297</t>
  </si>
  <si>
    <t>广东舒提建设工程有限公司</t>
  </si>
  <si>
    <t>554154</t>
  </si>
  <si>
    <t>深圳市年年兴网络科技有限公司</t>
  </si>
  <si>
    <t>555152</t>
  </si>
  <si>
    <t>深圳唯创知音电子有限公司</t>
  </si>
  <si>
    <t>555404</t>
  </si>
  <si>
    <t>深圳市科荣软件股份有限公司南京分公司</t>
  </si>
  <si>
    <t>555542</t>
  </si>
  <si>
    <t>深圳市金裕特科技有限公司</t>
  </si>
  <si>
    <t>555801</t>
  </si>
  <si>
    <t>深圳市众网创惠科技有限公司</t>
  </si>
  <si>
    <t>556229</t>
  </si>
  <si>
    <t>深圳市星兴泰科技有限公司</t>
  </si>
  <si>
    <t>556413</t>
  </si>
  <si>
    <t>上海醒市商盟供应链服务有限公司</t>
  </si>
  <si>
    <t>556625</t>
  </si>
  <si>
    <t>深圳市易立行信息技术有限公司</t>
  </si>
  <si>
    <t>556669</t>
  </si>
  <si>
    <t>华创科电（江苏）智能科技有限公司</t>
  </si>
  <si>
    <t>556757</t>
  </si>
  <si>
    <t>深圳亿锦泰科技开发有限公司</t>
  </si>
  <si>
    <t>556812</t>
  </si>
  <si>
    <t>深圳市融通仨立科技有限公司</t>
  </si>
  <si>
    <t>558151</t>
  </si>
  <si>
    <t>深圳市牧林科技有限公司</t>
  </si>
  <si>
    <t>558334</t>
  </si>
  <si>
    <t>深圳宏伟时代自控有限公司</t>
  </si>
  <si>
    <t>558894</t>
  </si>
  <si>
    <t>深圳市星辰跃迁科技有限公司</t>
  </si>
  <si>
    <t>559122</t>
  </si>
  <si>
    <t>赛瑞普（深圳）智能技术有限公司</t>
  </si>
  <si>
    <t>559642</t>
  </si>
  <si>
    <t>深圳市康帅达科技有限公司</t>
  </si>
  <si>
    <t>559646</t>
  </si>
  <si>
    <t>深圳市宇泰华科技工程有限公司</t>
  </si>
  <si>
    <t>559775</t>
  </si>
  <si>
    <t>昆山丰泰企业管理有限公司</t>
  </si>
  <si>
    <t>559804</t>
  </si>
  <si>
    <t>深圳青檀芯康养有限公司</t>
  </si>
  <si>
    <t>560476</t>
  </si>
  <si>
    <t>深圳市华云科睿科技有限公司</t>
  </si>
  <si>
    <t>560576</t>
  </si>
  <si>
    <t>素位科技（深圳）有限公司</t>
  </si>
  <si>
    <t>561047</t>
  </si>
  <si>
    <t>广东联泰集团物业管理有限公司深圳分公司</t>
  </si>
  <si>
    <t>561659</t>
  </si>
  <si>
    <t>深圳市汇聚山海科技有限公司</t>
  </si>
  <si>
    <t>561663</t>
  </si>
  <si>
    <t>深圳市未来机器人技术有限公司</t>
  </si>
  <si>
    <t>561666</t>
  </si>
  <si>
    <t>深圳市宝晟建设集团有限公司</t>
  </si>
  <si>
    <t>562294</t>
  </si>
  <si>
    <t>深圳市海力工业设备有限公司</t>
  </si>
  <si>
    <t>563663</t>
  </si>
  <si>
    <t>深圳市佳利鸿科技有限公司</t>
  </si>
  <si>
    <t>深圳市瀚尊网络科技有限公司</t>
  </si>
  <si>
    <t>563895</t>
  </si>
  <si>
    <t>深圳市汇繁科技有限公司</t>
  </si>
  <si>
    <t>563983</t>
  </si>
  <si>
    <t>深圳蛋壳方舟科技有限公司</t>
  </si>
  <si>
    <t>564259</t>
  </si>
  <si>
    <t>深圳维盛半导体科技有限公司</t>
  </si>
  <si>
    <t>564425</t>
  </si>
  <si>
    <t>深圳市昊源诺信科技有限公司</t>
  </si>
  <si>
    <t>564662</t>
  </si>
  <si>
    <t>深圳市卓烨佳明实业有限公司</t>
  </si>
  <si>
    <t>564826</t>
  </si>
  <si>
    <t>深圳市楠辉智能设备有限公司</t>
  </si>
  <si>
    <t>564842</t>
  </si>
  <si>
    <t>深圳市庆凯沣科技有限公司</t>
  </si>
  <si>
    <t>564843</t>
  </si>
  <si>
    <t>深圳市梧悠信息技术有限公司</t>
  </si>
  <si>
    <t>565059</t>
  </si>
  <si>
    <t>深圳数联康健智能科技有限公司</t>
  </si>
  <si>
    <t>565317</t>
  </si>
  <si>
    <t>东清合创（深圳）环境科技有限公司</t>
  </si>
  <si>
    <t>565318</t>
  </si>
  <si>
    <t>深圳市瑞图同创科技有限公司</t>
  </si>
  <si>
    <t>565818</t>
  </si>
  <si>
    <t>成都市晟裕泰企业管理有限公司</t>
  </si>
  <si>
    <t>566175</t>
  </si>
  <si>
    <t>深圳市名泽音响有限公司</t>
  </si>
  <si>
    <t>566352</t>
  </si>
  <si>
    <t>石家庄捷预泰企业管理有限公司</t>
  </si>
  <si>
    <t>566431</t>
  </si>
  <si>
    <t>深圳市莱恩云技术有限公司</t>
  </si>
  <si>
    <t>566981</t>
  </si>
  <si>
    <t>深圳市语梦科技有限公司</t>
  </si>
  <si>
    <t>数字化产品子类</t>
  </si>
  <si>
    <t>业绩地市</t>
  </si>
  <si>
    <t>销售雇员中文名</t>
  </si>
  <si>
    <t>售达方名称</t>
  </si>
  <si>
    <t>出库金额(元)</t>
  </si>
  <si>
    <t>团队</t>
    <phoneticPr fontId="3" type="noConversion"/>
  </si>
  <si>
    <t>二级部门</t>
    <phoneticPr fontId="3" type="noConversion"/>
  </si>
  <si>
    <t>行标签</t>
  </si>
  <si>
    <t>求和项:出库金额(元)</t>
  </si>
  <si>
    <t>AI开放平台摄像机</t>
  </si>
  <si>
    <t>深圳市</t>
  </si>
  <si>
    <t>AI开放平台摄像机（数字化）</t>
  </si>
  <si>
    <t>(空白)</t>
  </si>
  <si>
    <t>总计</t>
  </si>
  <si>
    <t>AI开放平台超脑</t>
  </si>
  <si>
    <t>AI融合巡检超脑</t>
  </si>
  <si>
    <t>专业测温系列</t>
  </si>
  <si>
    <t>产线相机</t>
  </si>
  <si>
    <t>人员定位系列</t>
  </si>
  <si>
    <t>声振监测系列</t>
  </si>
  <si>
    <t>大气环境监测</t>
  </si>
  <si>
    <t>工业测温云台</t>
  </si>
  <si>
    <t>工业测温球机</t>
  </si>
  <si>
    <t>工业测温筒机半球</t>
  </si>
  <si>
    <t>工位溯源双目相机</t>
  </si>
  <si>
    <t>微距摄像机</t>
  </si>
  <si>
    <t>扫描雷达</t>
  </si>
  <si>
    <t>扫码手持终端（PDA）</t>
  </si>
  <si>
    <t>抗振相机系列</t>
  </si>
  <si>
    <t>物位计</t>
  </si>
  <si>
    <t>耐高温系列</t>
  </si>
  <si>
    <t>观测球机系列（位移、水位、流量）</t>
  </si>
  <si>
    <t>视觉位移监测相机</t>
  </si>
  <si>
    <t>销售雇员描述</t>
  </si>
  <si>
    <t>潜力产品</t>
  </si>
  <si>
    <t>售达方描述</t>
  </si>
  <si>
    <t>销售额(万)</t>
  </si>
  <si>
    <t>同期销售额(万)</t>
  </si>
  <si>
    <t>三级部门</t>
    <phoneticPr fontId="3" type="noConversion"/>
  </si>
  <si>
    <t>求和项:销售额(万)</t>
  </si>
  <si>
    <t>前端大模型</t>
  </si>
  <si>
    <t>后端大模型（文搜&amp;多模态）</t>
  </si>
  <si>
    <t>安防PC</t>
  </si>
  <si>
    <t>新品</t>
  </si>
  <si>
    <t>交换机（核心轻框/多光多电)</t>
  </si>
  <si>
    <t>人员通道（御道/简行/票务闸机）</t>
  </si>
  <si>
    <t>前端大模型摄像机</t>
  </si>
  <si>
    <t>场景专用球机</t>
  </si>
  <si>
    <t>臻全彩IPC</t>
  </si>
  <si>
    <t>文搜中心存储</t>
  </si>
  <si>
    <t>专用相机（耐高温/抗振防抖)</t>
  </si>
  <si>
    <t>门禁（国密/国产化）</t>
  </si>
  <si>
    <t>服务器（云计算一体机/优势芯片整机/校时）</t>
  </si>
  <si>
    <t>音频(8000n/4000n系列)</t>
  </si>
  <si>
    <t>"界盾"视频防火墙</t>
  </si>
  <si>
    <t>大模型抓拍机</t>
  </si>
  <si>
    <t>智慧物联综合管控平台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</si>
</sst>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.00_);[Red]\(0.00\)"/>
    <numFmt numFmtId="178" formatCode="###,###,###,###,###,##0.00"/>
  </numFmts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8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FFFF"/>
      <name val="Calibri"/>
      <family val="2"/>
    </font>
    <font>
      <sz val="9"/>
      <color theme="1"/>
      <name val="微软雅黑"/>
      <family val="2"/>
      <charset val="134"/>
    </font>
    <font>
      <sz val="10"/>
      <color indexed="8"/>
      <name val="等线"/>
      <family val="2"/>
      <scheme val="minor"/>
    </font>
    <font>
      <sz val="10"/>
      <color theme="1"/>
      <name val="微软雅黑"/>
      <family val="2"/>
      <charset val="134"/>
    </font>
    <font>
      <sz val="11"/>
      <color indexed="8"/>
      <name val="等线"/>
      <family val="2"/>
      <scheme val="minor"/>
    </font>
    <font>
      <sz val="10"/>
      <color indexed="8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C4C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472ED"/>
      </patternFill>
    </fill>
    <fill>
      <patternFill patternType="solid">
        <fgColor rgb="FFF4F7FE"/>
      </patternFill>
    </fill>
    <fill>
      <patternFill patternType="solid">
        <fgColor rgb="FFEAF0FD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3" fillId="0" borderId="0">
      <alignment vertical="center"/>
    </xf>
  </cellStyleXfs>
  <cellXfs count="49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176" fontId="2" fillId="3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left" vertical="center"/>
    </xf>
    <xf numFmtId="176" fontId="2" fillId="3" borderId="1" xfId="1" applyNumberFormat="1" applyFont="1" applyFill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0" fontId="4" fillId="0" borderId="0" xfId="1" applyNumberFormat="1" applyFont="1" applyAlignment="1">
      <alignment vertical="center"/>
    </xf>
    <xf numFmtId="176" fontId="4" fillId="3" borderId="0" xfId="1" applyNumberFormat="1" applyFont="1" applyFill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2" xfId="0" applyFont="1" applyBorder="1" applyAlignment="1">
      <alignment horizontal="left"/>
    </xf>
    <xf numFmtId="0" fontId="6" fillId="0" borderId="2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/>
    </xf>
    <xf numFmtId="0" fontId="7" fillId="0" borderId="0" xfId="0" pivotButton="1" applyFont="1"/>
    <xf numFmtId="0" fontId="9" fillId="4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left"/>
    </xf>
    <xf numFmtId="177" fontId="7" fillId="0" borderId="0" xfId="0" applyNumberFormat="1" applyFont="1"/>
    <xf numFmtId="0" fontId="11" fillId="5" borderId="0" xfId="0" applyNumberFormat="1" applyFont="1" applyFill="1" applyAlignment="1">
      <alignment horizontal="left" vertical="center"/>
    </xf>
    <xf numFmtId="178" fontId="11" fillId="5" borderId="0" xfId="0" applyNumberFormat="1" applyFont="1" applyFill="1" applyAlignment="1">
      <alignment horizontal="center" vertical="center"/>
    </xf>
    <xf numFmtId="0" fontId="11" fillId="6" borderId="0" xfId="0" applyNumberFormat="1" applyFont="1" applyFill="1" applyAlignment="1">
      <alignment horizontal="left" vertical="center"/>
    </xf>
    <xf numFmtId="178" fontId="11" fillId="6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left"/>
    </xf>
    <xf numFmtId="177" fontId="12" fillId="0" borderId="0" xfId="0" applyNumberFormat="1" applyFont="1" applyFill="1" applyAlignment="1">
      <alignment horizontal="left"/>
    </xf>
    <xf numFmtId="0" fontId="9" fillId="4" borderId="0" xfId="2" applyFont="1" applyFill="1" applyAlignment="1">
      <alignment horizontal="center" vertical="center"/>
    </xf>
    <xf numFmtId="0" fontId="9" fillId="4" borderId="0" xfId="2" applyNumberFormat="1" applyFont="1" applyFill="1" applyAlignment="1">
      <alignment horizontal="center" vertical="center"/>
    </xf>
    <xf numFmtId="0" fontId="11" fillId="0" borderId="0" xfId="2" applyFont="1">
      <alignment vertical="center"/>
    </xf>
    <xf numFmtId="0" fontId="11" fillId="5" borderId="0" xfId="2" applyNumberFormat="1" applyFont="1" applyFill="1" applyAlignment="1">
      <alignment horizontal="left" vertical="center"/>
    </xf>
    <xf numFmtId="0" fontId="11" fillId="5" borderId="0" xfId="2" applyNumberFormat="1" applyFont="1" applyFill="1" applyAlignment="1">
      <alignment horizontal="center" vertical="center"/>
    </xf>
    <xf numFmtId="0" fontId="11" fillId="6" borderId="0" xfId="2" applyNumberFormat="1" applyFont="1" applyFill="1" applyAlignment="1">
      <alignment horizontal="left" vertical="center"/>
    </xf>
    <xf numFmtId="0" fontId="11" fillId="6" borderId="0" xfId="2" applyNumberFormat="1" applyFont="1" applyFill="1" applyAlignment="1">
      <alignment horizontal="center" vertical="center"/>
    </xf>
    <xf numFmtId="177" fontId="0" fillId="0" borderId="0" xfId="0" applyNumberFormat="1"/>
    <xf numFmtId="0" fontId="14" fillId="0" borderId="0" xfId="2" applyFont="1">
      <alignment vertical="center"/>
    </xf>
    <xf numFmtId="177" fontId="14" fillId="0" borderId="0" xfId="2" applyNumberFormat="1" applyFont="1">
      <alignment vertical="center"/>
    </xf>
    <xf numFmtId="0" fontId="11" fillId="0" borderId="0" xfId="2" applyNumberFormat="1" applyFont="1">
      <alignment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177" fontId="7" fillId="0" borderId="6" xfId="0" applyNumberFormat="1" applyFont="1" applyBorder="1"/>
    <xf numFmtId="177" fontId="7" fillId="0" borderId="7" xfId="0" applyNumberFormat="1" applyFont="1" applyBorder="1"/>
    <xf numFmtId="177" fontId="7" fillId="0" borderId="8" xfId="0" applyNumberFormat="1" applyFont="1" applyBorder="1"/>
  </cellXfs>
  <cellStyles count="3">
    <cellStyle name="常规" xfId="0" builtinId="0"/>
    <cellStyle name="常规 2" xfId="2"/>
    <cellStyle name="常规 4 2" xfId="1"/>
  </cellStyles>
  <dxfs count="120">
    <dxf>
      <font>
        <color rgb="FF9C6500"/>
      </font>
      <fill>
        <patternFill>
          <bgColor rgb="FFFFEB9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ngying5/Desktop/&#24180;&#24230;&#24037;&#20316;&#20107;&#39033;/2026&#24180;&#24037;&#20316;&#20869;&#23481;/&#19994;&#21153;&#20013;&#24515;&#25972;&#20307;OGSM&#25968;&#25454;&#25351;&#26631;&#36798;&#25104;/&#19994;&#21153;&#20013;&#24515;&#25972;&#20307;OGSM&#25968;&#25454;&#25351;&#26631;&#36798;&#25104;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展示"/>
      <sheetName val="OGSM表头"/>
      <sheetName val="销售组-业绩"/>
      <sheetName val="毛利额"/>
      <sheetName val="目标产品"/>
      <sheetName val="规上客均宽度"/>
      <sheetName val="潜力产品出库"/>
      <sheetName val="数字化产品出库1"/>
      <sheetName val="数字化产品出库2同期"/>
      <sheetName val="客户清单"/>
      <sheetName val="拜访"/>
      <sheetName val="百万客户"/>
      <sheetName val="销售对应表"/>
      <sheetName val="潜力产品目标"/>
      <sheetName val="观澜产品"/>
      <sheetName val="业务中心OGSM汇总"/>
      <sheetName val="表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C1" t="str">
            <v>Notes姓名</v>
          </cell>
          <cell r="D1" t="str">
            <v>销售员邮箱</v>
          </cell>
          <cell r="E1" t="str">
            <v>销售代码</v>
          </cell>
          <cell r="F1" t="str">
            <v>主管</v>
          </cell>
          <cell r="G1" t="str">
            <v>深圳-团队</v>
          </cell>
          <cell r="H1" t="str">
            <v>OA架构</v>
          </cell>
          <cell r="I1" t="str">
            <v>主管邮箱</v>
          </cell>
          <cell r="J1" t="str">
            <v>一级部门</v>
          </cell>
        </row>
        <row r="2">
          <cell r="C2" t="str">
            <v>韩杰</v>
          </cell>
          <cell r="D2" t="str">
            <v>hanjie@hikvision.com.cn</v>
          </cell>
          <cell r="E2">
            <v>80755</v>
          </cell>
          <cell r="F2" t="str">
            <v>韩杰</v>
          </cell>
          <cell r="G2" t="str">
            <v>大客户销售部</v>
          </cell>
          <cell r="H2" t="str">
            <v>大客户销售部</v>
          </cell>
          <cell r="I2" t="str">
            <v>hanjie@hikvision.com.cn</v>
          </cell>
          <cell r="J2" t="str">
            <v>客户销售部</v>
          </cell>
        </row>
        <row r="3">
          <cell r="C3" t="str">
            <v>李玉</v>
          </cell>
          <cell r="D3" t="str">
            <v>liyusz1@hikvision.com.cn</v>
          </cell>
          <cell r="E3">
            <v>81173</v>
          </cell>
          <cell r="F3" t="str">
            <v>韩杰</v>
          </cell>
          <cell r="G3" t="str">
            <v>大客户销售部</v>
          </cell>
          <cell r="H3" t="str">
            <v>大客户销售部</v>
          </cell>
          <cell r="I3" t="str">
            <v>hanjie@hikvision.com.cn</v>
          </cell>
          <cell r="J3" t="str">
            <v>客户销售部</v>
          </cell>
        </row>
        <row r="4">
          <cell r="C4" t="str">
            <v>邓贝额</v>
          </cell>
          <cell r="D4" t="str">
            <v>dengbeie@hikvision.com.cn</v>
          </cell>
          <cell r="E4">
            <v>99012</v>
          </cell>
          <cell r="F4" t="str">
            <v>韩杰</v>
          </cell>
          <cell r="G4" t="str">
            <v>大客户销售部</v>
          </cell>
          <cell r="H4" t="str">
            <v>大客户销售部</v>
          </cell>
          <cell r="I4" t="str">
            <v>hanjie@hikvision.com.cn</v>
          </cell>
          <cell r="J4" t="str">
            <v>客户销售部</v>
          </cell>
        </row>
        <row r="5">
          <cell r="C5" t="str">
            <v>郑飞13</v>
          </cell>
          <cell r="D5" t="str">
            <v>zhengfei13@hikvision.com.cn</v>
          </cell>
          <cell r="E5">
            <v>12830</v>
          </cell>
          <cell r="F5" t="str">
            <v>韩杰</v>
          </cell>
          <cell r="G5" t="str">
            <v>大客户销售部</v>
          </cell>
          <cell r="H5" t="str">
            <v>大客户销售部</v>
          </cell>
          <cell r="I5" t="str">
            <v>hanjie@hikvision.com.cn</v>
          </cell>
          <cell r="J5" t="str">
            <v>客户销售部</v>
          </cell>
        </row>
        <row r="6">
          <cell r="C6" t="str">
            <v>刘璞</v>
          </cell>
          <cell r="D6" t="str">
            <v>liupu@hikvision.com.cn</v>
          </cell>
          <cell r="E6">
            <v>83914</v>
          </cell>
          <cell r="F6" t="str">
            <v>韩杰</v>
          </cell>
          <cell r="G6" t="str">
            <v>大客户销售部</v>
          </cell>
          <cell r="H6" t="str">
            <v>大客户销售部</v>
          </cell>
          <cell r="I6" t="str">
            <v>hanjie@hikvision.com.cn</v>
          </cell>
          <cell r="J6" t="str">
            <v>客户销售部</v>
          </cell>
        </row>
        <row r="7">
          <cell r="C7" t="str">
            <v>刘爱红</v>
          </cell>
          <cell r="D7" t="str">
            <v>liuaihong@hikvision.com.cn</v>
          </cell>
          <cell r="E7">
            <v>80285</v>
          </cell>
          <cell r="F7" t="str">
            <v>韩杰</v>
          </cell>
          <cell r="G7" t="str">
            <v>大客户销售部</v>
          </cell>
          <cell r="H7" t="str">
            <v>大客户销售部</v>
          </cell>
          <cell r="I7" t="str">
            <v>hanjie@hikvision.com.cn</v>
          </cell>
          <cell r="J7" t="str">
            <v>客户销售部</v>
          </cell>
        </row>
        <row r="8">
          <cell r="C8" t="str">
            <v>马玉薪</v>
          </cell>
          <cell r="D8" t="str">
            <v>mayuxin@hikvision.com.cn</v>
          </cell>
          <cell r="E8">
            <v>94328</v>
          </cell>
          <cell r="F8" t="str">
            <v>韩杰</v>
          </cell>
          <cell r="G8" t="str">
            <v>大客户销售部</v>
          </cell>
          <cell r="H8" t="str">
            <v>大客户销售部</v>
          </cell>
          <cell r="I8" t="str">
            <v>hanjie@hikvision.com.cn</v>
          </cell>
          <cell r="J8" t="str">
            <v>客户销售部</v>
          </cell>
        </row>
        <row r="9">
          <cell r="C9" t="str">
            <v>张辉99</v>
          </cell>
          <cell r="D9" t="str">
            <v>zhanghui99@hikvision.com.cn</v>
          </cell>
          <cell r="E9">
            <v>13244</v>
          </cell>
          <cell r="F9" t="str">
            <v>韩杰</v>
          </cell>
          <cell r="G9" t="str">
            <v>大客户销售部</v>
          </cell>
          <cell r="H9" t="str">
            <v>大客户销售部</v>
          </cell>
          <cell r="I9" t="str">
            <v>hanjie@hikvision.com.cn</v>
          </cell>
          <cell r="J9" t="str">
            <v>客户销售部</v>
          </cell>
        </row>
        <row r="10">
          <cell r="C10" t="str">
            <v>高巍10</v>
          </cell>
          <cell r="D10" t="str">
            <v>gaowei10@hikvision.com.cn</v>
          </cell>
          <cell r="E10">
            <v>90788</v>
          </cell>
          <cell r="F10" t="str">
            <v>高巍10</v>
          </cell>
          <cell r="G10" t="str">
            <v>客户销售一部</v>
          </cell>
          <cell r="H10" t="str">
            <v>客户销售一部</v>
          </cell>
          <cell r="I10" t="str">
            <v>gaowei10@hikvision.com.cn</v>
          </cell>
          <cell r="J10" t="str">
            <v>客户销售部</v>
          </cell>
        </row>
        <row r="11">
          <cell r="C11" t="str">
            <v>段金君</v>
          </cell>
          <cell r="D11" t="str">
            <v>duanjinjun@hikvision.com.cn</v>
          </cell>
          <cell r="E11">
            <v>12814</v>
          </cell>
          <cell r="F11" t="str">
            <v>高巍10</v>
          </cell>
          <cell r="G11" t="str">
            <v>客户销售一部</v>
          </cell>
          <cell r="H11" t="str">
            <v>客户销售一部</v>
          </cell>
          <cell r="I11" t="str">
            <v>gaowei10@hikvision.com.cn</v>
          </cell>
          <cell r="J11" t="str">
            <v>客户销售部</v>
          </cell>
        </row>
        <row r="12">
          <cell r="C12" t="str">
            <v>张栋柱</v>
          </cell>
          <cell r="D12" t="str">
            <v>zhangdongzhu@hikvision.com.cn</v>
          </cell>
          <cell r="E12">
            <v>89612</v>
          </cell>
          <cell r="F12" t="str">
            <v>张栋柱</v>
          </cell>
          <cell r="G12" t="str">
            <v>客户销售一组</v>
          </cell>
          <cell r="H12" t="str">
            <v>客户销售一部</v>
          </cell>
          <cell r="I12" t="str">
            <v>zhangdongzhu@hikvision.com.cn</v>
          </cell>
          <cell r="J12" t="str">
            <v>客户销售部</v>
          </cell>
        </row>
        <row r="13">
          <cell r="C13" t="str">
            <v>沙坤</v>
          </cell>
          <cell r="D13" t="str">
            <v>shakun@hikvision.com.cn</v>
          </cell>
          <cell r="E13">
            <v>11508</v>
          </cell>
          <cell r="F13" t="str">
            <v>张栋柱</v>
          </cell>
          <cell r="G13" t="str">
            <v>客户销售一组</v>
          </cell>
          <cell r="H13" t="str">
            <v>客户销售一部</v>
          </cell>
          <cell r="I13" t="str">
            <v>zhangdongzhu@hikvision.com.cn</v>
          </cell>
          <cell r="J13" t="str">
            <v>客户销售部</v>
          </cell>
        </row>
        <row r="14">
          <cell r="C14" t="str">
            <v>王嘉恺5</v>
          </cell>
          <cell r="D14" t="str">
            <v>wangjiakai5@hikvision.com.cn</v>
          </cell>
          <cell r="E14">
            <v>99011</v>
          </cell>
          <cell r="F14" t="str">
            <v>张栋柱</v>
          </cell>
          <cell r="G14" t="str">
            <v>客户销售一组</v>
          </cell>
          <cell r="H14" t="str">
            <v>客户销售一部</v>
          </cell>
          <cell r="I14" t="str">
            <v>zhangdongzhu@hikvision.com.cn</v>
          </cell>
          <cell r="J14" t="str">
            <v>客户销售部</v>
          </cell>
        </row>
        <row r="15">
          <cell r="C15" t="str">
            <v>张振德</v>
          </cell>
          <cell r="D15" t="str">
            <v>zhangzhende@hikvision.com.cn</v>
          </cell>
          <cell r="E15">
            <v>14515</v>
          </cell>
          <cell r="F15" t="str">
            <v>张栋柱</v>
          </cell>
          <cell r="G15" t="str">
            <v>客户销售一组</v>
          </cell>
          <cell r="H15" t="str">
            <v>客户销售一部</v>
          </cell>
          <cell r="I15" t="str">
            <v>zhangdongzhu@hikvision.com.cn</v>
          </cell>
          <cell r="J15" t="str">
            <v>客户销售部</v>
          </cell>
        </row>
        <row r="16">
          <cell r="C16" t="str">
            <v>黄燕滨</v>
          </cell>
          <cell r="D16" t="str">
            <v>huangyanbin@hikvision.com.cn</v>
          </cell>
          <cell r="E16">
            <v>15471</v>
          </cell>
          <cell r="F16" t="str">
            <v>张栋柱</v>
          </cell>
          <cell r="G16" t="str">
            <v>客户销售一组</v>
          </cell>
          <cell r="H16" t="str">
            <v>客户销售一部</v>
          </cell>
          <cell r="I16" t="str">
            <v>zhangdongzhu@hikvision.com.cn</v>
          </cell>
          <cell r="J16" t="str">
            <v>客户销售部</v>
          </cell>
        </row>
        <row r="17">
          <cell r="C17" t="str">
            <v>彭威12</v>
          </cell>
          <cell r="D17" t="str">
            <v>pengwei12@hikvision.com.cn</v>
          </cell>
          <cell r="E17">
            <v>15470</v>
          </cell>
          <cell r="F17" t="str">
            <v>张栋柱</v>
          </cell>
          <cell r="G17" t="str">
            <v>客户销售一组</v>
          </cell>
          <cell r="H17" t="str">
            <v>客户销售一部</v>
          </cell>
          <cell r="I17" t="str">
            <v>zhangdongzhu@hikvision.com.cn</v>
          </cell>
          <cell r="J17" t="str">
            <v>客户销售部</v>
          </cell>
        </row>
        <row r="18">
          <cell r="C18" t="str">
            <v>陈刚sz</v>
          </cell>
          <cell r="D18" t="str">
            <v>chengangsz@hikvision.com.cn</v>
          </cell>
          <cell r="E18">
            <v>80280</v>
          </cell>
          <cell r="F18" t="str">
            <v>陈刚sz</v>
          </cell>
          <cell r="G18" t="str">
            <v>客户销售二组</v>
          </cell>
          <cell r="H18" t="str">
            <v>客户销售一部</v>
          </cell>
          <cell r="I18" t="str">
            <v>chengangsz@hikvision.com.cn</v>
          </cell>
          <cell r="J18" t="str">
            <v>客户销售部</v>
          </cell>
        </row>
        <row r="19">
          <cell r="C19" t="str">
            <v>罗肖福</v>
          </cell>
          <cell r="D19" t="str">
            <v>luoxiaofu@hikvision.com.cn</v>
          </cell>
          <cell r="E19">
            <v>99361</v>
          </cell>
          <cell r="F19" t="str">
            <v>陈刚sz</v>
          </cell>
          <cell r="G19" t="str">
            <v>客户销售二组</v>
          </cell>
          <cell r="H19" t="str">
            <v>客户销售一部</v>
          </cell>
          <cell r="I19" t="str">
            <v>chengangsz@hikvision.com.cn</v>
          </cell>
          <cell r="J19" t="str">
            <v>客户销售部</v>
          </cell>
        </row>
        <row r="20">
          <cell r="C20" t="str">
            <v>陈伟添</v>
          </cell>
          <cell r="D20" t="str">
            <v>chenweitian@hikvision.com.cn</v>
          </cell>
          <cell r="E20">
            <v>11507</v>
          </cell>
          <cell r="F20" t="str">
            <v>陈刚sz</v>
          </cell>
          <cell r="G20" t="str">
            <v>客户销售二组</v>
          </cell>
          <cell r="H20" t="str">
            <v>客户销售一部</v>
          </cell>
          <cell r="I20" t="str">
            <v>chengangsz@hikvision.com.cn</v>
          </cell>
          <cell r="J20" t="str">
            <v>客户销售部</v>
          </cell>
        </row>
        <row r="21">
          <cell r="C21" t="str">
            <v>孙天6</v>
          </cell>
          <cell r="D21" t="str">
            <v>suntian6@hikvision.com.cn</v>
          </cell>
          <cell r="E21">
            <v>96472</v>
          </cell>
          <cell r="F21" t="str">
            <v>陈刚sz</v>
          </cell>
          <cell r="G21" t="str">
            <v>客户销售二组</v>
          </cell>
          <cell r="H21" t="str">
            <v>客户销售一部</v>
          </cell>
          <cell r="I21" t="str">
            <v>chengangsz@hikvision.com.cn</v>
          </cell>
          <cell r="J21" t="str">
            <v>客户销售部</v>
          </cell>
        </row>
        <row r="22">
          <cell r="C22" t="str">
            <v>蔡均鑫</v>
          </cell>
          <cell r="D22" t="str">
            <v>caijunxin@hikvision.com.cn</v>
          </cell>
          <cell r="E22">
            <v>13245</v>
          </cell>
          <cell r="F22" t="str">
            <v>陈刚sz</v>
          </cell>
          <cell r="G22" t="str">
            <v>客户销售二组</v>
          </cell>
          <cell r="H22" t="str">
            <v>客户销售一部</v>
          </cell>
          <cell r="I22" t="str">
            <v>chengangsz@hikvision.com.cn</v>
          </cell>
          <cell r="J22" t="str">
            <v>客户销售部</v>
          </cell>
        </row>
        <row r="23">
          <cell r="C23" t="str">
            <v>熊佳豪</v>
          </cell>
          <cell r="D23" t="str">
            <v>xiongjiahao@hikvision.com.cn</v>
          </cell>
          <cell r="E23">
            <v>99360</v>
          </cell>
          <cell r="F23" t="str">
            <v>高巍10</v>
          </cell>
          <cell r="G23" t="str">
            <v>客户销售三组</v>
          </cell>
          <cell r="H23" t="str">
            <v>客户销售一部</v>
          </cell>
          <cell r="I23" t="str">
            <v>gaowei10@hikvision.com.cn</v>
          </cell>
          <cell r="J23" t="str">
            <v>客户销售部</v>
          </cell>
        </row>
        <row r="24">
          <cell r="C24" t="str">
            <v>王鹏旭</v>
          </cell>
          <cell r="D24" t="str">
            <v>wangpengxu@hikvision.com.cn</v>
          </cell>
          <cell r="E24">
            <v>97443</v>
          </cell>
          <cell r="F24" t="str">
            <v>高巍10</v>
          </cell>
          <cell r="G24" t="str">
            <v>客户销售三组</v>
          </cell>
          <cell r="H24" t="str">
            <v>客户销售一部</v>
          </cell>
          <cell r="I24" t="str">
            <v>gaowei10@hikvision.com.cn</v>
          </cell>
          <cell r="J24" t="str">
            <v>客户销售部</v>
          </cell>
        </row>
        <row r="25">
          <cell r="C25" t="str">
            <v>陈春11</v>
          </cell>
          <cell r="D25" t="str">
            <v>chenchun11@hikvision.com.cn</v>
          </cell>
          <cell r="E25">
            <v>10398</v>
          </cell>
          <cell r="F25" t="str">
            <v>高巍10</v>
          </cell>
          <cell r="G25" t="str">
            <v>客户销售三组</v>
          </cell>
          <cell r="H25" t="str">
            <v>客户销售一部</v>
          </cell>
          <cell r="I25" t="str">
            <v>gaowei10@hikvision.com.cn</v>
          </cell>
          <cell r="J25" t="str">
            <v>客户销售部</v>
          </cell>
        </row>
        <row r="26">
          <cell r="C26" t="str">
            <v>罗兴华</v>
          </cell>
          <cell r="D26" t="str">
            <v>luoxinghua@hikvision.com.cn</v>
          </cell>
          <cell r="E26">
            <v>88913</v>
          </cell>
          <cell r="F26" t="str">
            <v>高巍10</v>
          </cell>
          <cell r="G26" t="str">
            <v>客户销售三组</v>
          </cell>
          <cell r="H26" t="str">
            <v>客户销售一部</v>
          </cell>
          <cell r="I26" t="str">
            <v>gaowei10@hikvision.com.cn</v>
          </cell>
          <cell r="J26" t="str">
            <v>客户销售部</v>
          </cell>
        </row>
        <row r="27">
          <cell r="C27" t="str">
            <v>刘文宇5</v>
          </cell>
          <cell r="D27" t="str">
            <v>liuwenyu5@hikvision.com.cn</v>
          </cell>
          <cell r="E27">
            <v>88691</v>
          </cell>
          <cell r="F27" t="str">
            <v>刘文宇5</v>
          </cell>
          <cell r="G27" t="str">
            <v>客户销售四组</v>
          </cell>
          <cell r="H27" t="str">
            <v>客户销售一部</v>
          </cell>
          <cell r="I27" t="str">
            <v>liuwenyu5@hikvision.com.cn</v>
          </cell>
          <cell r="J27" t="str">
            <v>客户销售部</v>
          </cell>
        </row>
        <row r="28">
          <cell r="C28" t="str">
            <v>陈宁8</v>
          </cell>
          <cell r="D28" t="str">
            <v>chenning8@hikvision.com.cn</v>
          </cell>
          <cell r="E28">
            <v>97203</v>
          </cell>
          <cell r="F28" t="str">
            <v>刘文宇5</v>
          </cell>
          <cell r="G28" t="str">
            <v>客户销售四组</v>
          </cell>
          <cell r="H28" t="str">
            <v>客户销售一部</v>
          </cell>
          <cell r="I28" t="str">
            <v>liuwenyu5@hikvision.com.cn</v>
          </cell>
          <cell r="J28" t="str">
            <v>客户销售部</v>
          </cell>
        </row>
        <row r="29">
          <cell r="C29" t="str">
            <v>范富山</v>
          </cell>
          <cell r="D29" t="str">
            <v>fanfushan@hikvision.com.cn</v>
          </cell>
          <cell r="E29">
            <v>98333</v>
          </cell>
          <cell r="F29" t="str">
            <v>刘文宇5</v>
          </cell>
          <cell r="G29" t="str">
            <v>客户销售四组</v>
          </cell>
          <cell r="H29" t="str">
            <v>客户销售一部</v>
          </cell>
          <cell r="I29" t="str">
            <v>liuwenyu5@hikvision.com.cn</v>
          </cell>
          <cell r="J29" t="str">
            <v>客户销售部</v>
          </cell>
        </row>
        <row r="30">
          <cell r="C30" t="str">
            <v>梁资航5</v>
          </cell>
          <cell r="D30" t="str">
            <v>liangzihang5@hikvision.com.cn</v>
          </cell>
          <cell r="E30">
            <v>98617</v>
          </cell>
          <cell r="F30" t="str">
            <v>刘文宇5</v>
          </cell>
          <cell r="G30" t="str">
            <v>客户销售四组</v>
          </cell>
          <cell r="H30" t="str">
            <v>客户销售一部</v>
          </cell>
          <cell r="I30" t="str">
            <v>liuwenyu5@hikvision.com.cn</v>
          </cell>
          <cell r="J30" t="str">
            <v>客户销售部</v>
          </cell>
        </row>
        <row r="31">
          <cell r="C31" t="str">
            <v>胡鹏17</v>
          </cell>
          <cell r="D31" t="str">
            <v>hupeng17@hikvision.com.cn</v>
          </cell>
          <cell r="E31">
            <v>96737</v>
          </cell>
          <cell r="F31" t="str">
            <v>刘文宇5</v>
          </cell>
          <cell r="G31" t="str">
            <v>客户销售四组</v>
          </cell>
          <cell r="H31" t="str">
            <v>客户销售一部</v>
          </cell>
          <cell r="I31" t="str">
            <v>liuwenyu5@hikvision.com.cn</v>
          </cell>
          <cell r="J31" t="str">
            <v>客户销售部</v>
          </cell>
        </row>
        <row r="32">
          <cell r="C32" t="str">
            <v>徐志伟8</v>
          </cell>
          <cell r="D32" t="str">
            <v>xuzhiwei8@hikvision.com.cn</v>
          </cell>
          <cell r="E32">
            <v>97442</v>
          </cell>
          <cell r="F32" t="str">
            <v>刘文宇5</v>
          </cell>
          <cell r="G32" t="str">
            <v>客户销售四组</v>
          </cell>
          <cell r="H32" t="str">
            <v>客户销售一部</v>
          </cell>
          <cell r="I32" t="str">
            <v>liuwenyu5@hikvision.com.cn</v>
          </cell>
          <cell r="J32" t="str">
            <v>客户销售部</v>
          </cell>
        </row>
        <row r="33">
          <cell r="C33" t="str">
            <v>张宜军8</v>
          </cell>
          <cell r="D33" t="str">
            <v>zhangyijun8@hikvision.com.cn</v>
          </cell>
          <cell r="E33">
            <v>14507</v>
          </cell>
          <cell r="F33" t="str">
            <v>刘文宇5</v>
          </cell>
          <cell r="G33" t="str">
            <v>客户销售四组</v>
          </cell>
          <cell r="H33" t="str">
            <v>客户销售一部</v>
          </cell>
          <cell r="I33" t="str">
            <v>liuwenyu5@hikvision.com.cn</v>
          </cell>
          <cell r="J33" t="str">
            <v>客户销售部</v>
          </cell>
        </row>
        <row r="34">
          <cell r="C34" t="str">
            <v>吴正豪</v>
          </cell>
          <cell r="D34" t="str">
            <v>wuzhenghao@hikvision.com.cn</v>
          </cell>
          <cell r="E34">
            <v>91409</v>
          </cell>
          <cell r="F34" t="str">
            <v>吴正豪</v>
          </cell>
          <cell r="G34" t="str">
            <v>客户销售二部</v>
          </cell>
          <cell r="H34" t="str">
            <v>客户销售二部</v>
          </cell>
          <cell r="I34" t="str">
            <v>wuzhenghao@hikvision.com.cn</v>
          </cell>
          <cell r="J34" t="str">
            <v>客户销售部</v>
          </cell>
        </row>
        <row r="35">
          <cell r="C35" t="str">
            <v>张如玮5</v>
          </cell>
          <cell r="D35" t="str">
            <v>zhangruwei5@hikvision.com.cn</v>
          </cell>
          <cell r="E35">
            <v>12090</v>
          </cell>
          <cell r="F35" t="str">
            <v>吴正豪</v>
          </cell>
          <cell r="G35" t="str">
            <v>客户销售六组</v>
          </cell>
          <cell r="H35" t="str">
            <v>客户销售二部</v>
          </cell>
          <cell r="I35" t="str">
            <v>wuzhenghao@hikvision.com.cn</v>
          </cell>
          <cell r="J35" t="str">
            <v>客户销售部</v>
          </cell>
        </row>
        <row r="36">
          <cell r="C36" t="str">
            <v>龙招军</v>
          </cell>
          <cell r="D36" t="str">
            <v>longzhaojun@hikvision.com.cn</v>
          </cell>
          <cell r="E36">
            <v>99561</v>
          </cell>
          <cell r="F36" t="str">
            <v>吴正豪</v>
          </cell>
          <cell r="G36" t="str">
            <v>客户销售六组</v>
          </cell>
          <cell r="H36" t="str">
            <v>客户销售二部</v>
          </cell>
          <cell r="I36" t="str">
            <v>wuzhenghao@hikvision.com.cn</v>
          </cell>
          <cell r="J36" t="str">
            <v>客户销售部</v>
          </cell>
        </row>
        <row r="37">
          <cell r="C37" t="str">
            <v>牛璐</v>
          </cell>
          <cell r="D37" t="str">
            <v>niulu@hikvision.com.cn</v>
          </cell>
          <cell r="E37">
            <v>84288</v>
          </cell>
          <cell r="F37" t="str">
            <v>吴正豪</v>
          </cell>
          <cell r="G37" t="str">
            <v>客户销售六组</v>
          </cell>
          <cell r="H37" t="str">
            <v>客户销售二部</v>
          </cell>
          <cell r="I37" t="str">
            <v>wuzhenghao@hikvision.com.cn</v>
          </cell>
          <cell r="J37" t="str">
            <v>客户销售部</v>
          </cell>
        </row>
        <row r="38">
          <cell r="C38" t="str">
            <v>朱迪7</v>
          </cell>
          <cell r="D38" t="str">
            <v>zhudi7@hikvision.com.cn</v>
          </cell>
          <cell r="E38">
            <v>95484</v>
          </cell>
          <cell r="F38" t="str">
            <v>朱迪7</v>
          </cell>
          <cell r="G38" t="str">
            <v>客户销售七组</v>
          </cell>
          <cell r="H38" t="str">
            <v>客户销售二部</v>
          </cell>
          <cell r="I38" t="str">
            <v>zhudi7@hikvision.com.cn</v>
          </cell>
          <cell r="J38" t="str">
            <v>客户销售部</v>
          </cell>
        </row>
        <row r="39">
          <cell r="C39" t="str">
            <v>王海滨8</v>
          </cell>
          <cell r="D39" t="str">
            <v>wanghaibin8@hikvision.com.cn</v>
          </cell>
          <cell r="E39">
            <v>95485</v>
          </cell>
          <cell r="F39" t="str">
            <v>朱迪7</v>
          </cell>
          <cell r="G39" t="str">
            <v>客户销售七组</v>
          </cell>
          <cell r="H39" t="str">
            <v>客户销售二部</v>
          </cell>
          <cell r="I39" t="str">
            <v>zhudi7@hikvision.com.cn</v>
          </cell>
          <cell r="J39" t="str">
            <v>客户销售部</v>
          </cell>
        </row>
        <row r="40">
          <cell r="C40" t="str">
            <v>陈博锋</v>
          </cell>
          <cell r="D40" t="str">
            <v>chenbofeng@hikvision.com.cn</v>
          </cell>
          <cell r="E40">
            <v>91834</v>
          </cell>
          <cell r="F40" t="str">
            <v>朱迪7</v>
          </cell>
          <cell r="G40" t="str">
            <v>客户销售七组</v>
          </cell>
          <cell r="H40" t="str">
            <v>客户销售二部</v>
          </cell>
          <cell r="I40" t="str">
            <v>zhudi7@hikvision.com.cn</v>
          </cell>
          <cell r="J40" t="str">
            <v>客户销售部</v>
          </cell>
        </row>
        <row r="41">
          <cell r="C41" t="str">
            <v>蒋宪正</v>
          </cell>
          <cell r="D41" t="str">
            <v>jiangxianzheng@hikvision.com.cn</v>
          </cell>
          <cell r="E41">
            <v>92320</v>
          </cell>
          <cell r="F41" t="str">
            <v>朱迪7</v>
          </cell>
          <cell r="G41" t="str">
            <v>客户销售七组</v>
          </cell>
          <cell r="H41" t="str">
            <v>客户销售二部</v>
          </cell>
          <cell r="I41" t="str">
            <v>zhudi7@hikvision.com.cn</v>
          </cell>
          <cell r="J41" t="str">
            <v>客户销售部</v>
          </cell>
        </row>
        <row r="42">
          <cell r="C42" t="str">
            <v>汤瑞生</v>
          </cell>
          <cell r="D42" t="str">
            <v>tangruisheng@hikvision.com.cn</v>
          </cell>
          <cell r="E42">
            <v>88693</v>
          </cell>
          <cell r="F42" t="str">
            <v>朱迪7</v>
          </cell>
          <cell r="G42" t="str">
            <v>客户销售七组</v>
          </cell>
          <cell r="H42" t="str">
            <v>客户销售二部</v>
          </cell>
          <cell r="I42" t="str">
            <v>zhudi7@hikvision.com.cn</v>
          </cell>
          <cell r="J42" t="str">
            <v>客户销售部</v>
          </cell>
        </row>
        <row r="43">
          <cell r="C43" t="str">
            <v>叶德庆</v>
          </cell>
          <cell r="D43" t="str">
            <v>yedeqing@hikvision.com.cn</v>
          </cell>
          <cell r="E43">
            <v>13248</v>
          </cell>
          <cell r="F43" t="str">
            <v>朱迪7</v>
          </cell>
          <cell r="G43" t="str">
            <v>客户销售七组</v>
          </cell>
          <cell r="H43" t="str">
            <v>客户销售二部</v>
          </cell>
          <cell r="I43" t="str">
            <v>zhudi7@hikvision.com.cn</v>
          </cell>
          <cell r="J43" t="str">
            <v>客户销售部</v>
          </cell>
        </row>
        <row r="44">
          <cell r="C44" t="str">
            <v>邓畅</v>
          </cell>
          <cell r="D44" t="str">
            <v>dengchang@hikvision.com.cn</v>
          </cell>
          <cell r="E44">
            <v>87410</v>
          </cell>
          <cell r="F44" t="str">
            <v>邓畅</v>
          </cell>
          <cell r="G44" t="str">
            <v>客户销售八组</v>
          </cell>
          <cell r="H44" t="str">
            <v>客户销售二部</v>
          </cell>
          <cell r="I44" t="str">
            <v>dengchang@hikvision.com.cn</v>
          </cell>
          <cell r="J44" t="str">
            <v>客户销售部</v>
          </cell>
        </row>
        <row r="45">
          <cell r="C45" t="str">
            <v>张云川</v>
          </cell>
          <cell r="D45" t="str">
            <v>zhangyunchuan@hikvision.com.cn</v>
          </cell>
          <cell r="E45">
            <v>91963</v>
          </cell>
          <cell r="F45" t="str">
            <v>邓畅</v>
          </cell>
          <cell r="G45" t="str">
            <v>客户销售八组</v>
          </cell>
          <cell r="H45" t="str">
            <v>客户销售二部</v>
          </cell>
          <cell r="I45" t="str">
            <v>dengchang@hikvision.com.cn</v>
          </cell>
          <cell r="J45" t="str">
            <v>客户销售部</v>
          </cell>
        </row>
        <row r="46">
          <cell r="C46" t="str">
            <v>何建新6</v>
          </cell>
          <cell r="D46" t="str">
            <v>hejianxin6@hikvision.com.cn</v>
          </cell>
          <cell r="E46">
            <v>98314</v>
          </cell>
          <cell r="F46" t="str">
            <v>邓畅</v>
          </cell>
          <cell r="G46" t="str">
            <v>客户销售八组</v>
          </cell>
          <cell r="H46" t="str">
            <v>客户销售二部</v>
          </cell>
          <cell r="I46" t="str">
            <v>dengchang@hikvision.com.cn</v>
          </cell>
          <cell r="J46" t="str">
            <v>客户销售部</v>
          </cell>
        </row>
        <row r="47">
          <cell r="C47" t="str">
            <v>吴思聪</v>
          </cell>
          <cell r="D47" t="str">
            <v>wusicong@hikvision.com.cn</v>
          </cell>
          <cell r="E47">
            <v>10395</v>
          </cell>
          <cell r="F47" t="str">
            <v>邓畅</v>
          </cell>
          <cell r="G47" t="str">
            <v>客户销售八组</v>
          </cell>
          <cell r="H47" t="str">
            <v>客户销售二部</v>
          </cell>
          <cell r="I47" t="str">
            <v>dengchang@hikvision.com.cn</v>
          </cell>
          <cell r="J47" t="str">
            <v>客户销售部</v>
          </cell>
        </row>
        <row r="48">
          <cell r="C48" t="str">
            <v>王宇龙25</v>
          </cell>
          <cell r="D48" t="str">
            <v>wangyulong25@hikvision.com.cn</v>
          </cell>
          <cell r="E48">
            <v>10383</v>
          </cell>
          <cell r="F48" t="str">
            <v>邓畅</v>
          </cell>
          <cell r="G48" t="str">
            <v>客户销售八组</v>
          </cell>
          <cell r="H48" t="str">
            <v>客户销售二部</v>
          </cell>
          <cell r="I48" t="str">
            <v>dengchang@hikvision.com.cn</v>
          </cell>
          <cell r="J48" t="str">
            <v>客户销售部</v>
          </cell>
        </row>
        <row r="49">
          <cell r="C49" t="str">
            <v>徐添寒</v>
          </cell>
          <cell r="D49" t="str">
            <v>xutianhan@hikvision.com.cn</v>
          </cell>
          <cell r="E49">
            <v>97627</v>
          </cell>
          <cell r="F49" t="str">
            <v>邓畅</v>
          </cell>
          <cell r="G49" t="str">
            <v>客户销售八组</v>
          </cell>
          <cell r="H49" t="str">
            <v>客户销售二部</v>
          </cell>
          <cell r="I49" t="str">
            <v>dengchang@hikvision.com.cn</v>
          </cell>
          <cell r="J49" t="str">
            <v>客户销售部</v>
          </cell>
        </row>
        <row r="50">
          <cell r="C50" t="str">
            <v>李拥政5</v>
          </cell>
          <cell r="D50" t="str">
            <v>liyongzheng5@hikvision.com.cn</v>
          </cell>
          <cell r="E50">
            <v>91410</v>
          </cell>
          <cell r="F50" t="str">
            <v>李拥政5</v>
          </cell>
          <cell r="G50" t="str">
            <v>客户销售九组</v>
          </cell>
          <cell r="H50" t="str">
            <v>客户销售二部</v>
          </cell>
          <cell r="I50" t="str">
            <v>liyongzheng5@hikvision.com.cn</v>
          </cell>
          <cell r="J50" t="str">
            <v>客户销售部</v>
          </cell>
        </row>
        <row r="51">
          <cell r="C51" t="str">
            <v>胡程6</v>
          </cell>
          <cell r="D51" t="str">
            <v>hucheng6@hikvision.com.cn</v>
          </cell>
          <cell r="E51">
            <v>92850</v>
          </cell>
          <cell r="F51" t="str">
            <v>李拥政5</v>
          </cell>
          <cell r="G51" t="str">
            <v>客户销售九组</v>
          </cell>
          <cell r="H51" t="str">
            <v>客户销售二部</v>
          </cell>
          <cell r="I51" t="str">
            <v>liyongzheng5@hikvision.com.cn</v>
          </cell>
          <cell r="J51" t="str">
            <v>客户销售部</v>
          </cell>
        </row>
        <row r="52">
          <cell r="C52" t="str">
            <v>许金迪</v>
          </cell>
          <cell r="D52" t="str">
            <v>xujindi@hikvision.com.cn</v>
          </cell>
          <cell r="E52">
            <v>97195</v>
          </cell>
          <cell r="F52" t="str">
            <v>李拥政5</v>
          </cell>
          <cell r="G52" t="str">
            <v>客户销售九组</v>
          </cell>
          <cell r="H52" t="str">
            <v>客户销售二部</v>
          </cell>
          <cell r="I52" t="str">
            <v>liyongzheng5@hikvision.com.cn</v>
          </cell>
          <cell r="J52" t="str">
            <v>客户销售部</v>
          </cell>
        </row>
        <row r="53">
          <cell r="C53" t="str">
            <v>蒋国江</v>
          </cell>
          <cell r="D53" t="str">
            <v>jiangguojiang@hikvision.com.cn</v>
          </cell>
          <cell r="E53">
            <v>97696</v>
          </cell>
          <cell r="F53" t="str">
            <v>李拥政5</v>
          </cell>
          <cell r="G53" t="str">
            <v>客户销售九组</v>
          </cell>
          <cell r="H53" t="str">
            <v>客户销售二部</v>
          </cell>
          <cell r="I53" t="str">
            <v>liyongzheng5@hikvision.com.cn</v>
          </cell>
          <cell r="J53" t="str">
            <v>客户销售部</v>
          </cell>
        </row>
        <row r="54">
          <cell r="C54" t="str">
            <v>贾贺翔</v>
          </cell>
          <cell r="D54" t="str">
            <v>jiahexiang@hikvision.com.cn</v>
          </cell>
          <cell r="E54">
            <v>95987</v>
          </cell>
          <cell r="F54" t="str">
            <v>李拥政5</v>
          </cell>
          <cell r="G54" t="str">
            <v>客户销售九组</v>
          </cell>
          <cell r="H54" t="str">
            <v>客户销售二部</v>
          </cell>
          <cell r="I54" t="str">
            <v>liyongzheng5@hikvision.com.cn</v>
          </cell>
          <cell r="J54" t="str">
            <v>客户销售部</v>
          </cell>
        </row>
        <row r="55">
          <cell r="C55" t="str">
            <v>黎毅刚</v>
          </cell>
          <cell r="D55" t="str">
            <v>liyigang@hikvision.com.cn</v>
          </cell>
          <cell r="E55">
            <v>93235</v>
          </cell>
          <cell r="F55" t="str">
            <v>李拥政5</v>
          </cell>
          <cell r="G55" t="str">
            <v>客户销售九组</v>
          </cell>
          <cell r="H55" t="str">
            <v>客户销售二部</v>
          </cell>
          <cell r="I55" t="str">
            <v>liyongzheng5@hikvision.com.cn</v>
          </cell>
          <cell r="J55" t="str">
            <v>客户销售部</v>
          </cell>
        </row>
        <row r="56">
          <cell r="C56" t="str">
            <v>卫玉昌</v>
          </cell>
          <cell r="D56" t="str">
            <v>weiyuchang@hikvision.com.cn</v>
          </cell>
          <cell r="E56">
            <v>81049</v>
          </cell>
          <cell r="F56" t="str">
            <v>卫玉昌</v>
          </cell>
          <cell r="G56" t="str">
            <v>行业一部</v>
          </cell>
          <cell r="H56" t="str">
            <v>行业一部</v>
          </cell>
          <cell r="I56" t="str">
            <v>weiyuchang@hikvision.com.cn</v>
          </cell>
          <cell r="J56" t="str">
            <v>行业一部</v>
          </cell>
        </row>
        <row r="57">
          <cell r="C57" t="str">
            <v>潘仲楠</v>
          </cell>
          <cell r="D57" t="str">
            <v>panzhongnan@hikvision.com.cn</v>
          </cell>
          <cell r="E57">
            <v>82871</v>
          </cell>
          <cell r="F57" t="str">
            <v>潘仲楠</v>
          </cell>
          <cell r="G57" t="str">
            <v>工业企业一组</v>
          </cell>
          <cell r="H57" t="str">
            <v>工业企业一组</v>
          </cell>
          <cell r="I57" t="str">
            <v>panzhongnan@hikvision.com.cn</v>
          </cell>
          <cell r="J57" t="str">
            <v>行业一部</v>
          </cell>
        </row>
        <row r="58">
          <cell r="C58" t="str">
            <v>周丹3</v>
          </cell>
          <cell r="D58" t="str">
            <v>zhoudan3@hikvision.com.cn</v>
          </cell>
          <cell r="E58">
            <v>84866</v>
          </cell>
          <cell r="F58" t="str">
            <v>潘仲楠</v>
          </cell>
          <cell r="G58" t="str">
            <v>工业企业一组</v>
          </cell>
          <cell r="H58" t="str">
            <v>工业企业一组</v>
          </cell>
          <cell r="I58" t="str">
            <v>panzhongnan@hikvision.com.cn</v>
          </cell>
          <cell r="J58" t="str">
            <v>行业一部</v>
          </cell>
        </row>
        <row r="59">
          <cell r="C59" t="str">
            <v>张星19</v>
          </cell>
          <cell r="D59" t="str">
            <v>zhangxing19@hikvision.com.cn</v>
          </cell>
          <cell r="E59">
            <v>97629</v>
          </cell>
          <cell r="F59" t="str">
            <v>潘仲楠</v>
          </cell>
          <cell r="G59" t="str">
            <v>工业企业一组</v>
          </cell>
          <cell r="H59" t="str">
            <v>工业企业一组</v>
          </cell>
          <cell r="I59" t="str">
            <v>panzhongnan@hikvision.com.cn</v>
          </cell>
          <cell r="J59" t="str">
            <v>行业一部</v>
          </cell>
        </row>
        <row r="60">
          <cell r="C60" t="str">
            <v>杨永光</v>
          </cell>
          <cell r="D60" t="str">
            <v>yangyongguang@hikvision.com.cn</v>
          </cell>
          <cell r="E60">
            <v>80295</v>
          </cell>
          <cell r="F60" t="str">
            <v>潘仲楠</v>
          </cell>
          <cell r="G60" t="str">
            <v>工业企业一组</v>
          </cell>
          <cell r="H60" t="str">
            <v>工业企业一组</v>
          </cell>
          <cell r="I60" t="str">
            <v>panzhongnan@hikvision.com.cn</v>
          </cell>
          <cell r="J60" t="str">
            <v>行业一部</v>
          </cell>
        </row>
        <row r="61">
          <cell r="C61" t="str">
            <v>刘超27</v>
          </cell>
          <cell r="D61" t="str">
            <v>liuchao27@hikvision.com.cn</v>
          </cell>
          <cell r="E61">
            <v>90786</v>
          </cell>
          <cell r="F61" t="str">
            <v>潘仲楠</v>
          </cell>
          <cell r="G61" t="str">
            <v>工业企业一组</v>
          </cell>
          <cell r="H61" t="str">
            <v>工业企业一组</v>
          </cell>
          <cell r="I61" t="str">
            <v>panzhongnan@hikvision.com.cn</v>
          </cell>
          <cell r="J61" t="str">
            <v>行业一部</v>
          </cell>
        </row>
        <row r="62">
          <cell r="C62" t="str">
            <v>唐明翔</v>
          </cell>
          <cell r="D62" t="str">
            <v>tangmingxiang@hikvision.com.cn</v>
          </cell>
          <cell r="E62">
            <v>97612</v>
          </cell>
          <cell r="F62" t="str">
            <v>卫玉昌</v>
          </cell>
          <cell r="G62" t="str">
            <v>工业企业二组</v>
          </cell>
          <cell r="H62" t="str">
            <v>工业企业二组</v>
          </cell>
          <cell r="I62" t="str">
            <v>weiyuchang@hikvision.com.cn</v>
          </cell>
          <cell r="J62" t="str">
            <v>行业一部</v>
          </cell>
        </row>
        <row r="63">
          <cell r="C63" t="str">
            <v>胡鑫11</v>
          </cell>
          <cell r="D63" t="str">
            <v>huxin11@hikvision.com.cn</v>
          </cell>
          <cell r="E63">
            <v>97953</v>
          </cell>
          <cell r="F63" t="str">
            <v>卫玉昌</v>
          </cell>
          <cell r="G63" t="str">
            <v>工业企业二组</v>
          </cell>
          <cell r="H63" t="str">
            <v>工业企业二组</v>
          </cell>
          <cell r="I63" t="str">
            <v>weiyuchang@hikvision.com.cn</v>
          </cell>
          <cell r="J63" t="str">
            <v>行业一部</v>
          </cell>
        </row>
        <row r="64">
          <cell r="C64" t="str">
            <v>陈仲都</v>
          </cell>
          <cell r="D64" t="str">
            <v>chenzhongdu@hikvision.com.cn</v>
          </cell>
          <cell r="E64">
            <v>12574</v>
          </cell>
          <cell r="F64" t="str">
            <v>卫玉昌</v>
          </cell>
          <cell r="G64" t="str">
            <v>工业企业二组</v>
          </cell>
          <cell r="H64" t="str">
            <v>工业企业二组</v>
          </cell>
          <cell r="I64" t="str">
            <v>weiyuchang@hikvision.com.cn</v>
          </cell>
          <cell r="J64" t="str">
            <v>行业一部</v>
          </cell>
        </row>
        <row r="65">
          <cell r="C65" t="str">
            <v>洪峰泉</v>
          </cell>
          <cell r="D65" t="str">
            <v>hongfengquan@hikvision.com.cn</v>
          </cell>
          <cell r="E65">
            <v>80287</v>
          </cell>
          <cell r="F65" t="str">
            <v>卫玉昌</v>
          </cell>
          <cell r="G65" t="str">
            <v>工业企业二组</v>
          </cell>
          <cell r="H65" t="str">
            <v>工业企业二组</v>
          </cell>
          <cell r="I65" t="str">
            <v>weiyuchang@hikvision.com.cn</v>
          </cell>
          <cell r="J65" t="str">
            <v>行业一部</v>
          </cell>
        </row>
        <row r="66">
          <cell r="C66" t="str">
            <v>高扬23</v>
          </cell>
          <cell r="D66" t="str">
            <v>gaoyang23@hikvision.com.cn</v>
          </cell>
          <cell r="E66">
            <v>93539</v>
          </cell>
          <cell r="F66" t="str">
            <v>卫玉昌</v>
          </cell>
          <cell r="G66" t="str">
            <v>工业企业二组</v>
          </cell>
          <cell r="H66" t="str">
            <v>工业企业二组</v>
          </cell>
          <cell r="I66" t="str">
            <v>weiyuchang@hikvision.com.cn</v>
          </cell>
          <cell r="J66" t="str">
            <v>行业一部</v>
          </cell>
        </row>
        <row r="67">
          <cell r="C67" t="str">
            <v>李耀东</v>
          </cell>
          <cell r="D67" t="str">
            <v>liyaodong@hikvision.com.cn</v>
          </cell>
          <cell r="E67">
            <v>86411</v>
          </cell>
          <cell r="F67" t="str">
            <v>李耀东</v>
          </cell>
          <cell r="G67" t="str">
            <v>智慧商贸组</v>
          </cell>
          <cell r="H67" t="str">
            <v>智慧商贸组</v>
          </cell>
          <cell r="I67" t="str">
            <v>liyaodong@hikvision.com.cn</v>
          </cell>
          <cell r="J67" t="str">
            <v>行业一部</v>
          </cell>
        </row>
        <row r="68">
          <cell r="C68" t="str">
            <v>曾强弘</v>
          </cell>
          <cell r="D68" t="str">
            <v>zengqianghong@hikvision.com.cn</v>
          </cell>
          <cell r="E68">
            <v>98382</v>
          </cell>
          <cell r="F68" t="str">
            <v>李耀东</v>
          </cell>
          <cell r="G68" t="str">
            <v>智慧商贸组</v>
          </cell>
          <cell r="H68" t="str">
            <v>智慧商贸组</v>
          </cell>
          <cell r="I68" t="str">
            <v>liyaodong@hikvision.com.cn</v>
          </cell>
          <cell r="J68" t="str">
            <v>行业一部</v>
          </cell>
        </row>
        <row r="69">
          <cell r="C69" t="str">
            <v>刘佳豪26</v>
          </cell>
          <cell r="D69" t="str">
            <v>liujiahao26@hikvision.com.cn</v>
          </cell>
          <cell r="E69">
            <v>12575</v>
          </cell>
          <cell r="F69" t="str">
            <v>李耀东</v>
          </cell>
          <cell r="G69" t="str">
            <v>智慧商贸组</v>
          </cell>
          <cell r="H69" t="str">
            <v>智慧商贸组</v>
          </cell>
          <cell r="I69" t="str">
            <v>liyaodong@hikvision.com.cn</v>
          </cell>
          <cell r="J69" t="str">
            <v>行业一部</v>
          </cell>
        </row>
        <row r="70">
          <cell r="C70" t="str">
            <v>孙德成</v>
          </cell>
          <cell r="D70" t="str">
            <v>sundecheng@hikvision.com.cn</v>
          </cell>
          <cell r="E70">
            <v>14833</v>
          </cell>
          <cell r="F70" t="str">
            <v>李耀东</v>
          </cell>
          <cell r="G70" t="str">
            <v>智慧商贸组</v>
          </cell>
          <cell r="H70" t="str">
            <v>智慧商贸组</v>
          </cell>
          <cell r="I70" t="str">
            <v>liyaodong@hikvision.com.cn</v>
          </cell>
          <cell r="J70" t="str">
            <v>行业一部</v>
          </cell>
        </row>
        <row r="71">
          <cell r="C71" t="str">
            <v>朱绪浩</v>
          </cell>
          <cell r="D71" t="str">
            <v>zhuxuhao@hikvision.com.cn</v>
          </cell>
          <cell r="E71">
            <v>86701</v>
          </cell>
          <cell r="F71" t="str">
            <v>朱绪浩</v>
          </cell>
          <cell r="G71" t="str">
            <v>智慧建筑组</v>
          </cell>
          <cell r="H71" t="str">
            <v>智慧建筑组</v>
          </cell>
          <cell r="I71" t="str">
            <v>zhuxuhao@hikvision.com.cn</v>
          </cell>
          <cell r="J71" t="str">
            <v>行业一部</v>
          </cell>
        </row>
        <row r="72">
          <cell r="C72" t="str">
            <v>杨秀敏</v>
          </cell>
          <cell r="D72" t="str">
            <v>yangxiumin@hikvision.com.cn</v>
          </cell>
          <cell r="E72">
            <v>83258</v>
          </cell>
          <cell r="F72" t="str">
            <v>朱绪浩</v>
          </cell>
          <cell r="G72" t="str">
            <v>智慧建筑组</v>
          </cell>
          <cell r="H72" t="str">
            <v>智慧建筑组</v>
          </cell>
          <cell r="I72" t="str">
            <v>zhuxuhao@hikvision.com.cn</v>
          </cell>
          <cell r="J72" t="str">
            <v>行业一部</v>
          </cell>
        </row>
        <row r="73">
          <cell r="C73" t="str">
            <v>吴泽民6</v>
          </cell>
          <cell r="D73" t="str">
            <v>wuzemin6@hikvision.com.cn</v>
          </cell>
          <cell r="E73">
            <v>97288</v>
          </cell>
          <cell r="F73" t="str">
            <v>朱绪浩</v>
          </cell>
          <cell r="G73" t="str">
            <v>智慧建筑组</v>
          </cell>
          <cell r="H73" t="str">
            <v>智慧建筑组</v>
          </cell>
          <cell r="I73" t="str">
            <v>zhuxuhao@hikvision.com.cn</v>
          </cell>
          <cell r="J73" t="str">
            <v>行业一部</v>
          </cell>
        </row>
        <row r="74">
          <cell r="C74" t="str">
            <v>何亮12</v>
          </cell>
          <cell r="D74" t="str">
            <v>heliang12@hikvision.com.cn</v>
          </cell>
          <cell r="E74">
            <v>98993</v>
          </cell>
          <cell r="F74" t="str">
            <v>朱绪浩</v>
          </cell>
          <cell r="G74" t="str">
            <v>智慧建筑组</v>
          </cell>
          <cell r="H74" t="str">
            <v>智慧建筑组</v>
          </cell>
          <cell r="I74" t="str">
            <v>zhuxuhao@hikvision.com.cn</v>
          </cell>
          <cell r="J74" t="str">
            <v>行业一部</v>
          </cell>
        </row>
        <row r="75">
          <cell r="C75" t="str">
            <v>房伟建</v>
          </cell>
          <cell r="D75" t="str">
            <v>fangweijian@hikvision.com.cn</v>
          </cell>
          <cell r="E75">
            <v>84977</v>
          </cell>
          <cell r="F75" t="str">
            <v>房伟建</v>
          </cell>
          <cell r="G75" t="str">
            <v>行业二部</v>
          </cell>
          <cell r="H75" t="str">
            <v>行业二部</v>
          </cell>
          <cell r="I75" t="str">
            <v>fangweijian@hikvision.com.cn</v>
          </cell>
          <cell r="J75" t="str">
            <v>行业二部</v>
          </cell>
        </row>
        <row r="76">
          <cell r="C76" t="str">
            <v>陈志杰8</v>
          </cell>
          <cell r="D76" t="str">
            <v>chenzhijie8@hikvision.com.cn</v>
          </cell>
          <cell r="E76">
            <v>11583</v>
          </cell>
          <cell r="F76" t="str">
            <v>房伟建</v>
          </cell>
          <cell r="G76" t="str">
            <v>行业二部</v>
          </cell>
          <cell r="H76" t="str">
            <v>行业二部</v>
          </cell>
          <cell r="I76" t="str">
            <v>fangweijian@hikvision.com.cn</v>
          </cell>
          <cell r="J76" t="str">
            <v>行业二部</v>
          </cell>
        </row>
        <row r="77">
          <cell r="C77" t="str">
            <v>林若驹</v>
          </cell>
          <cell r="D77" t="str">
            <v>linruoju@hikvision.com.cn</v>
          </cell>
          <cell r="E77">
            <v>88696</v>
          </cell>
          <cell r="F77" t="str">
            <v>房伟建</v>
          </cell>
          <cell r="G77" t="str">
            <v>行业二部</v>
          </cell>
          <cell r="H77" t="str">
            <v>行业二部</v>
          </cell>
          <cell r="I77" t="str">
            <v>fangweijian@hikvision.com.cn</v>
          </cell>
          <cell r="J77" t="str">
            <v>行业二部</v>
          </cell>
        </row>
        <row r="78">
          <cell r="C78" t="str">
            <v>郭庆3</v>
          </cell>
          <cell r="D78" t="str">
            <v>guoqing3@hikvision.com.cn</v>
          </cell>
          <cell r="E78">
            <v>83047</v>
          </cell>
          <cell r="F78" t="str">
            <v>房伟建</v>
          </cell>
          <cell r="G78" t="str">
            <v>公安交警行业组</v>
          </cell>
          <cell r="H78" t="str">
            <v>公安交警行业组</v>
          </cell>
          <cell r="I78" t="str">
            <v>fangweijian@hikvision.com.cn</v>
          </cell>
          <cell r="J78" t="str">
            <v>行业二部</v>
          </cell>
        </row>
        <row r="79">
          <cell r="C79" t="str">
            <v>徐云鹏1</v>
          </cell>
          <cell r="D79" t="str">
            <v>xuyunpeng1@hikvision.com.cn</v>
          </cell>
          <cell r="E79">
            <v>84439</v>
          </cell>
          <cell r="F79" t="str">
            <v>房伟建</v>
          </cell>
          <cell r="G79" t="str">
            <v>公安交警行业组</v>
          </cell>
          <cell r="H79" t="str">
            <v>公安交警行业组</v>
          </cell>
          <cell r="I79" t="str">
            <v>fangweijian@hikvision.com.cn</v>
          </cell>
          <cell r="J79" t="str">
            <v>行业二部</v>
          </cell>
        </row>
        <row r="80">
          <cell r="C80" t="str">
            <v>张腾辉6</v>
          </cell>
          <cell r="D80" t="str">
            <v>zhangtenghui6@hikvision.com.cn</v>
          </cell>
          <cell r="E80">
            <v>12862</v>
          </cell>
          <cell r="F80" t="str">
            <v>房伟建</v>
          </cell>
          <cell r="G80" t="str">
            <v>公安交警行业组</v>
          </cell>
          <cell r="H80" t="str">
            <v>公安交警行业组</v>
          </cell>
          <cell r="I80" t="str">
            <v>fangweijian@hikvision.com.cn</v>
          </cell>
          <cell r="J80" t="str">
            <v>行业二部</v>
          </cell>
        </row>
        <row r="81">
          <cell r="C81" t="str">
            <v>廖贝贝</v>
          </cell>
          <cell r="D81" t="str">
            <v>liaobeibei@hikvision.com.cn</v>
          </cell>
          <cell r="E81">
            <v>86412</v>
          </cell>
          <cell r="F81" t="str">
            <v>廖贝贝</v>
          </cell>
          <cell r="G81" t="str">
            <v>政府行业组</v>
          </cell>
          <cell r="H81" t="str">
            <v>政府行业组</v>
          </cell>
          <cell r="I81" t="str">
            <v>liaobeibei@hikvision.com.cn</v>
          </cell>
          <cell r="J81" t="str">
            <v>行业二部</v>
          </cell>
        </row>
        <row r="82">
          <cell r="C82" t="str">
            <v>陶文杰</v>
          </cell>
          <cell r="D82" t="str">
            <v xml:space="preserve">taowenjie@hikvision.com.cn </v>
          </cell>
          <cell r="E82">
            <v>83029</v>
          </cell>
          <cell r="F82" t="str">
            <v>廖贝贝</v>
          </cell>
          <cell r="G82" t="str">
            <v>政府行业组</v>
          </cell>
          <cell r="H82" t="str">
            <v>政府行业组</v>
          </cell>
          <cell r="I82" t="str">
            <v>liaobeibei@hikvision.com.cn</v>
          </cell>
          <cell r="J82" t="str">
            <v>行业二部</v>
          </cell>
        </row>
        <row r="83">
          <cell r="C83" t="str">
            <v>唐勇10</v>
          </cell>
          <cell r="D83" t="str">
            <v>tangyong10@hikvision.com.cn</v>
          </cell>
          <cell r="E83">
            <v>93538</v>
          </cell>
          <cell r="F83" t="str">
            <v>廖贝贝</v>
          </cell>
          <cell r="G83" t="str">
            <v>政府行业组</v>
          </cell>
          <cell r="H83" t="str">
            <v>政府行业组</v>
          </cell>
          <cell r="I83" t="str">
            <v>liaobeibei@hikvision.com.cn</v>
          </cell>
          <cell r="J83" t="str">
            <v>行业二部</v>
          </cell>
        </row>
        <row r="84">
          <cell r="C84" t="str">
            <v>刘骏86</v>
          </cell>
          <cell r="D84" t="str">
            <v>liujun86@hikvision.com.cn</v>
          </cell>
          <cell r="E84">
            <v>10396</v>
          </cell>
          <cell r="F84" t="str">
            <v>廖贝贝</v>
          </cell>
          <cell r="G84" t="str">
            <v>政府行业组</v>
          </cell>
          <cell r="H84" t="str">
            <v>政府行业组</v>
          </cell>
          <cell r="I84" t="str">
            <v>liaobeibei@hikvision.com.cn</v>
          </cell>
          <cell r="J84" t="str">
            <v>行业二部</v>
          </cell>
        </row>
        <row r="85">
          <cell r="C85" t="str">
            <v>王魁8</v>
          </cell>
          <cell r="D85" t="str">
            <v>wangkui8@hikvision.com.cn</v>
          </cell>
          <cell r="E85">
            <v>90386</v>
          </cell>
          <cell r="F85" t="str">
            <v>王魁8</v>
          </cell>
          <cell r="G85" t="str">
            <v>交通行业组</v>
          </cell>
          <cell r="H85" t="str">
            <v>交通行业组</v>
          </cell>
          <cell r="I85" t="str">
            <v>wangkui8@hikvision.com.cn</v>
          </cell>
          <cell r="J85" t="str">
            <v>行业二部</v>
          </cell>
        </row>
        <row r="86">
          <cell r="C86" t="str">
            <v>肖力</v>
          </cell>
          <cell r="D86" t="str">
            <v>xiaoli@hikvision.com.cn</v>
          </cell>
          <cell r="E86">
            <v>82239</v>
          </cell>
          <cell r="F86" t="str">
            <v>王魁8</v>
          </cell>
          <cell r="G86" t="str">
            <v>交通行业组</v>
          </cell>
          <cell r="H86" t="str">
            <v>交通行业组</v>
          </cell>
          <cell r="I86" t="str">
            <v>wangkui8@hikvision.com.cn</v>
          </cell>
          <cell r="J86" t="str">
            <v>行业二部</v>
          </cell>
        </row>
        <row r="87">
          <cell r="C87" t="str">
            <v>文波5</v>
          </cell>
          <cell r="D87" t="str">
            <v>wenbo5@hikvision.com.cn</v>
          </cell>
          <cell r="E87">
            <v>87071</v>
          </cell>
          <cell r="F87" t="str">
            <v>王魁8</v>
          </cell>
          <cell r="G87" t="str">
            <v>交通行业组</v>
          </cell>
          <cell r="H87" t="str">
            <v>交通行业组</v>
          </cell>
          <cell r="I87" t="str">
            <v>wangkui8@hikvision.com.cn</v>
          </cell>
          <cell r="J87" t="str">
            <v>行业二部</v>
          </cell>
        </row>
        <row r="88">
          <cell r="C88" t="str">
            <v>刘冬6</v>
          </cell>
          <cell r="D88" t="str">
            <v>liudong6@hikvision.com.cn</v>
          </cell>
          <cell r="E88">
            <v>90327</v>
          </cell>
          <cell r="F88" t="str">
            <v>刘冬6</v>
          </cell>
          <cell r="G88" t="str">
            <v>司法行业组</v>
          </cell>
          <cell r="H88" t="str">
            <v>司法行业组</v>
          </cell>
          <cell r="I88" t="str">
            <v>liudong6@hikvision.com.cn</v>
          </cell>
          <cell r="J88" t="str">
            <v>行业二部</v>
          </cell>
        </row>
        <row r="89">
          <cell r="C89" t="str">
            <v>柯俊鑫</v>
          </cell>
          <cell r="D89" t="str">
            <v>kejunxin@hikvision.com.cn</v>
          </cell>
          <cell r="E89">
            <v>93762</v>
          </cell>
          <cell r="F89" t="str">
            <v>刘冬6</v>
          </cell>
          <cell r="G89" t="str">
            <v>司法行业组</v>
          </cell>
          <cell r="H89" t="str">
            <v>司法行业组</v>
          </cell>
          <cell r="I89" t="str">
            <v>liudong6@hikvision.com.cn</v>
          </cell>
          <cell r="J89" t="str">
            <v>行业二部</v>
          </cell>
        </row>
        <row r="90">
          <cell r="C90" t="str">
            <v>王茜</v>
          </cell>
          <cell r="D90" t="str">
            <v>wangxisz@hikvision.com.cn</v>
          </cell>
          <cell r="E90">
            <v>80290</v>
          </cell>
          <cell r="F90" t="str">
            <v>王茜</v>
          </cell>
          <cell r="G90" t="str">
            <v>文教卫组</v>
          </cell>
          <cell r="H90" t="str">
            <v>文教卫组</v>
          </cell>
          <cell r="I90" t="str">
            <v>wangxisz@hikvision.com.cn</v>
          </cell>
          <cell r="J90" t="str">
            <v>行业二部</v>
          </cell>
        </row>
        <row r="91">
          <cell r="C91" t="str">
            <v>李功</v>
          </cell>
          <cell r="D91" t="str">
            <v>ligong@hikvision.com.cn</v>
          </cell>
          <cell r="E91">
            <v>83228</v>
          </cell>
          <cell r="F91" t="str">
            <v>王茜</v>
          </cell>
          <cell r="G91" t="str">
            <v>文教卫组</v>
          </cell>
          <cell r="H91" t="str">
            <v>文教卫组</v>
          </cell>
          <cell r="I91" t="str">
            <v>wangxisz@hikvision.com.cn</v>
          </cell>
          <cell r="J91" t="str">
            <v>行业二部</v>
          </cell>
        </row>
        <row r="92">
          <cell r="C92" t="str">
            <v>张岩27</v>
          </cell>
          <cell r="D92" t="str">
            <v>zhangyan27@hikvision.com.cn</v>
          </cell>
          <cell r="E92">
            <v>87974</v>
          </cell>
          <cell r="F92" t="str">
            <v>王茜</v>
          </cell>
          <cell r="G92" t="str">
            <v>文教卫组</v>
          </cell>
          <cell r="H92" t="str">
            <v>文教卫组</v>
          </cell>
          <cell r="I92" t="str">
            <v>wangxisz@hikvision.com.cn</v>
          </cell>
          <cell r="J92" t="str">
            <v>行业二部</v>
          </cell>
        </row>
        <row r="93">
          <cell r="C93" t="str">
            <v>刘羽欣</v>
          </cell>
          <cell r="D93" t="str">
            <v>liuyuxin@hikvision.com.cn</v>
          </cell>
          <cell r="E93">
            <v>84793</v>
          </cell>
          <cell r="F93" t="str">
            <v>王茜</v>
          </cell>
          <cell r="G93" t="str">
            <v>文教卫组</v>
          </cell>
          <cell r="H93" t="str">
            <v>文教卫组</v>
          </cell>
          <cell r="I93" t="str">
            <v>wangxisz@hikvision.com.cn</v>
          </cell>
          <cell r="J93" t="str">
            <v>行业二部</v>
          </cell>
        </row>
        <row r="94">
          <cell r="C94" t="str">
            <v>刘向文5</v>
          </cell>
          <cell r="D94" t="str">
            <v>liuxiangwen5@hikvision.com.cn</v>
          </cell>
          <cell r="E94">
            <v>96862</v>
          </cell>
          <cell r="F94" t="str">
            <v>王茜</v>
          </cell>
          <cell r="G94" t="str">
            <v>文教卫组</v>
          </cell>
          <cell r="H94" t="str">
            <v>文教卫组</v>
          </cell>
          <cell r="I94" t="str">
            <v>wangxisz@hikvision.com.cn</v>
          </cell>
          <cell r="J94" t="str">
            <v>行业二部</v>
          </cell>
        </row>
        <row r="95">
          <cell r="C95" t="str">
            <v>黄子懿</v>
          </cell>
          <cell r="D95" t="str">
            <v>huangziyi@hikvision.com.cn</v>
          </cell>
          <cell r="E95">
            <v>97392</v>
          </cell>
          <cell r="F95" t="str">
            <v>王茜</v>
          </cell>
          <cell r="G95" t="str">
            <v>文教卫组</v>
          </cell>
          <cell r="H95" t="str">
            <v>文教卫组</v>
          </cell>
          <cell r="I95" t="str">
            <v>wangxisz@hikvision.com.cn</v>
          </cell>
          <cell r="J95" t="str">
            <v>行业二部</v>
          </cell>
        </row>
        <row r="96">
          <cell r="C96" t="str">
            <v>明良斌</v>
          </cell>
          <cell r="D96" t="str">
            <v>mingliangbin@hikvision.com.cn</v>
          </cell>
          <cell r="E96">
            <v>88083</v>
          </cell>
          <cell r="F96" t="str">
            <v>卫玉昌</v>
          </cell>
          <cell r="G96" t="str">
            <v>场景数字化销售部</v>
          </cell>
          <cell r="H96" t="str">
            <v>场景数字化销售部</v>
          </cell>
          <cell r="I96" t="str">
            <v>weiyuchang@hikvision.com.cn</v>
          </cell>
          <cell r="J96" t="str">
            <v>场景数字化销售部</v>
          </cell>
        </row>
        <row r="97">
          <cell r="C97" t="str">
            <v>张永仁</v>
          </cell>
          <cell r="D97" t="str">
            <v>zhangyongren@hikvision.com.cn</v>
          </cell>
          <cell r="E97">
            <v>14260</v>
          </cell>
          <cell r="F97" t="str">
            <v>卫玉昌</v>
          </cell>
          <cell r="G97" t="str">
            <v>场景数字化销售部</v>
          </cell>
          <cell r="H97" t="str">
            <v>场景数字化销售部</v>
          </cell>
          <cell r="I97" t="str">
            <v>weiyuchang@hikvision.com.cn</v>
          </cell>
          <cell r="J97" t="str">
            <v>场景数字化销售部</v>
          </cell>
        </row>
        <row r="98">
          <cell r="C98" t="str">
            <v>王俊杰</v>
          </cell>
          <cell r="D98" t="str">
            <v>wangjunjie@hikvision.com.cn</v>
          </cell>
          <cell r="E98">
            <v>14834</v>
          </cell>
          <cell r="F98" t="str">
            <v>卫玉昌</v>
          </cell>
          <cell r="G98" t="str">
            <v>场景数字化销售部</v>
          </cell>
          <cell r="H98" t="str">
            <v>场景数字化销售部</v>
          </cell>
          <cell r="I98" t="str">
            <v>weiyuchang@hikvision.com.cn</v>
          </cell>
          <cell r="J98" t="str">
            <v>场景数字化销售部</v>
          </cell>
        </row>
        <row r="99">
          <cell r="C99" t="str">
            <v>杨娟</v>
          </cell>
          <cell r="D99" t="str">
            <v>yangjuan@hikvision.com.cn</v>
          </cell>
          <cell r="E99">
            <v>80286</v>
          </cell>
          <cell r="F99" t="str">
            <v>杨娟</v>
          </cell>
          <cell r="G99" t="str">
            <v>金融服务组</v>
          </cell>
          <cell r="H99" t="str">
            <v>金融服务业务部\华南大区\深圳组</v>
          </cell>
          <cell r="I99" t="str">
            <v>yangjuan@hikvision.com.cn</v>
          </cell>
          <cell r="J99" t="str">
            <v>金融服务业务部</v>
          </cell>
        </row>
        <row r="100">
          <cell r="C100" t="str">
            <v>黄玉琴</v>
          </cell>
          <cell r="D100" t="str">
            <v>huangyuqin@hikvision.com.cn</v>
          </cell>
          <cell r="E100">
            <v>83339</v>
          </cell>
          <cell r="F100" t="str">
            <v>杨娟</v>
          </cell>
          <cell r="G100" t="str">
            <v>金融服务组</v>
          </cell>
          <cell r="H100" t="str">
            <v>金融服务业务部\华南大区\深圳组</v>
          </cell>
          <cell r="I100" t="str">
            <v>yangjuan@hikvision.com.cn</v>
          </cell>
          <cell r="J100" t="str">
            <v>金融服务业务部</v>
          </cell>
        </row>
        <row r="101">
          <cell r="C101" t="str">
            <v>卓奕财</v>
          </cell>
          <cell r="D101" t="str">
            <v>zhuoyicai@hikvision.com.cn</v>
          </cell>
          <cell r="E101">
            <v>97826</v>
          </cell>
          <cell r="F101" t="str">
            <v>杨娟</v>
          </cell>
          <cell r="G101" t="str">
            <v>金融服务组</v>
          </cell>
          <cell r="H101" t="str">
            <v>金融服务业务部\华南大区\深圳组</v>
          </cell>
          <cell r="I101" t="str">
            <v>yangjuan@hikvision.com.cn</v>
          </cell>
          <cell r="J101" t="str">
            <v>金融服务业务部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enghuanzhi/Documents/HikLink_Files/wenghuanzhi/received/&#23458;&#25143;&#38144;&#21806;&#19968;&#37096;-&#20135;&#21697;&#25968;&#25454;&#25903;&#25745;%20&#25130;&#27490;053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enghuanzhi/Documents/HikLink_Files/wenghuanzhi/received/&#23458;&#25143;&#38144;&#21806;&#19968;&#37096;-&#20135;&#21697;&#25968;&#25454;&#25903;&#25745;%20&#25130;&#27490;053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6176.629627314818" createdVersion="6" refreshedVersion="6" minRefreshableVersion="3" recordCount="1171">
  <cacheSource type="worksheet">
    <worksheetSource ref="A1:G1048576" sheet="数字化产品出库" r:id="rId2"/>
  </cacheSource>
  <cacheFields count="7">
    <cacheField name="数字化产品子类" numFmtId="0">
      <sharedItems containsBlank="1"/>
    </cacheField>
    <cacheField name="业绩地市" numFmtId="0">
      <sharedItems containsBlank="1"/>
    </cacheField>
    <cacheField name="销售雇员中文名" numFmtId="0">
      <sharedItems containsBlank="1" count="25">
        <s v="刘文宇5"/>
        <s v="孙天6"/>
        <s v="徐志伟8"/>
        <s v="梁资航5"/>
        <s v="段金君"/>
        <s v="熊佳豪"/>
        <s v="范富山"/>
        <s v="蔡均鑫"/>
        <s v="陈伟添"/>
        <s v="张振德"/>
        <s v="张栋柱"/>
        <s v="沙坤"/>
        <s v="王嘉恺5"/>
        <s v="罗兴华"/>
        <s v="罗肖福"/>
        <s v="黄燕滨"/>
        <s v="张宜军8"/>
        <s v="王鹏旭"/>
        <s v="陈刚sz"/>
        <s v="陈宁8"/>
        <s v="胡鹏17"/>
        <s v="陈春11"/>
        <s v="彭威12"/>
        <s v="高巍10"/>
        <m/>
      </sharedItems>
    </cacheField>
    <cacheField name="售达方名称" numFmtId="0">
      <sharedItems containsBlank="1"/>
    </cacheField>
    <cacheField name="出库金额(元)" numFmtId="0">
      <sharedItems containsString="0" containsBlank="1" containsNumber="1" minValue="-1800" maxValue="907546"/>
    </cacheField>
    <cacheField name="团队" numFmtId="0">
      <sharedItems containsBlank="1" count="6">
        <s v="客户销售四组"/>
        <s v="客户销售二组"/>
        <s v="客户销售一部"/>
        <s v="客户销售三组"/>
        <s v="客户销售一组"/>
        <m/>
      </sharedItems>
    </cacheField>
    <cacheField name="二级部门" numFmtId="0">
      <sharedItems containsBlank="1" count="2">
        <s v="客户销售一部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作者" refreshedDate="46176.636044675928" createdVersion="6" refreshedVersion="6" minRefreshableVersion="3" recordCount="98">
  <cacheSource type="worksheet">
    <worksheetSource ref="A1:D1048576" sheet="新品-类别" r:id="rId2"/>
  </cacheSource>
  <cacheFields count="4">
    <cacheField name="销售雇员描述" numFmtId="0">
      <sharedItems containsBlank="1" count="25">
        <s v="张振德"/>
        <s v="张栋柱"/>
        <s v="彭威12"/>
        <s v="沙坤"/>
        <s v="王嘉恺5"/>
        <s v="黄燕滨"/>
        <s v="熊佳豪"/>
        <s v="王鹏旭"/>
        <s v="罗兴华"/>
        <s v="陈春11"/>
        <s v="孙天6"/>
        <s v="罗肖福"/>
        <s v="蔡均鑫"/>
        <s v="陈伟添"/>
        <s v="陈刚sz"/>
        <s v="刘文宇5"/>
        <s v="张宜军8"/>
        <s v="徐志伟8"/>
        <s v="梁资航5"/>
        <s v="胡鹏17"/>
        <s v="范富山"/>
        <s v="陈宁8"/>
        <s v="段金君"/>
        <s v="高巍10"/>
        <m/>
      </sharedItems>
    </cacheField>
    <cacheField name="新品" numFmtId="0">
      <sharedItems containsBlank="1"/>
    </cacheField>
    <cacheField name="销售额(万)" numFmtId="0">
      <sharedItems containsString="0" containsBlank="1" containsNumber="1" minValue="-3.88" maxValue="66.816000000000003"/>
    </cacheField>
    <cacheField name="团队" numFmtId="0">
      <sharedItems containsBlank="1" count="7">
        <s v="客户销售一组"/>
        <s v="客户销售三组"/>
        <s v="客户销售二组"/>
        <s v="客户销售四组"/>
        <s v="未分配"/>
        <m/>
        <s v="客户销售一部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1">
  <r>
    <s v="AI开放平台摄像机"/>
    <s v="深圳市"/>
    <x v="0"/>
    <s v="深圳市皓驰安防科技有限公司"/>
    <n v="1215"/>
    <x v="0"/>
    <x v="0"/>
  </r>
  <r>
    <s v="AI开放平台摄像机"/>
    <s v="深圳市"/>
    <x v="1"/>
    <s v="中山顺丰速运有限公司"/>
    <n v="41175"/>
    <x v="1"/>
    <x v="0"/>
  </r>
  <r>
    <s v="AI开放平台摄像机"/>
    <s v="深圳市"/>
    <x v="1"/>
    <s v="宁波海曙启天计算机有限公司"/>
    <n v="835"/>
    <x v="1"/>
    <x v="0"/>
  </r>
  <r>
    <s v="AI开放平台摄像机"/>
    <s v="深圳市"/>
    <x v="2"/>
    <s v="深圳市行健自动化股份有限公司"/>
    <n v="7560"/>
    <x v="0"/>
    <x v="0"/>
  </r>
  <r>
    <s v="AI开放平台摄像机"/>
    <s v="深圳市"/>
    <x v="3"/>
    <s v="深圳市影美驰科技发展有限公司"/>
    <n v="2080"/>
    <x v="0"/>
    <x v="0"/>
  </r>
  <r>
    <s v="AI开放平台摄像机"/>
    <s v="深圳市"/>
    <x v="4"/>
    <s v="深圳市安华计算机有限公司"/>
    <n v="546"/>
    <x v="2"/>
    <x v="0"/>
  </r>
  <r>
    <s v="AI开放平台摄像机"/>
    <s v="深圳市"/>
    <x v="4"/>
    <s v="深圳市青云酒店信息技术有限公司"/>
    <n v="5202"/>
    <x v="2"/>
    <x v="0"/>
  </r>
  <r>
    <s v="AI开放平台摄像机"/>
    <s v="深圳市"/>
    <x v="5"/>
    <s v="时代高科技设备（赣州）有限公司"/>
    <n v="5320"/>
    <x v="3"/>
    <x v="0"/>
  </r>
  <r>
    <s v="AI开放平台摄像机"/>
    <s v="深圳市"/>
    <x v="5"/>
    <s v="深圳市中电电力技术股份有限公司"/>
    <n v="17220"/>
    <x v="3"/>
    <x v="0"/>
  </r>
  <r>
    <s v="AI开放平台摄像机"/>
    <s v="深圳市"/>
    <x v="5"/>
    <s v="深圳金三立视频科技股份有限公司"/>
    <n v="757"/>
    <x v="3"/>
    <x v="0"/>
  </r>
  <r>
    <s v="AI开放平台摄像机"/>
    <s v="深圳市"/>
    <x v="6"/>
    <s v="深圳市锐天盛世智能科技有限公司"/>
    <n v="2040"/>
    <x v="0"/>
    <x v="0"/>
  </r>
  <r>
    <s v="AI开放平台摄像机"/>
    <s v="深圳市"/>
    <x v="7"/>
    <s v="深圳市森安科技有限公司"/>
    <n v="4730"/>
    <x v="1"/>
    <x v="0"/>
  </r>
  <r>
    <s v="AI开放平台摄像机"/>
    <s v="深圳市"/>
    <x v="7"/>
    <s v="通九州信息（深圳）有限公司"/>
    <n v="7400"/>
    <x v="1"/>
    <x v="0"/>
  </r>
  <r>
    <s v="AI开放平台摄像机"/>
    <s v="深圳市"/>
    <x v="8"/>
    <s v="深圳市叁贰零科技有限公司"/>
    <n v="7599"/>
    <x v="1"/>
    <x v="0"/>
  </r>
  <r>
    <s v="AI开放平台摄像机"/>
    <s v="深圳市"/>
    <x v="8"/>
    <s v="深圳市天智恒科技发展有限公司"/>
    <n v="2020"/>
    <x v="1"/>
    <x v="0"/>
  </r>
  <r>
    <s v="AI开放平台摄像机"/>
    <s v="深圳市"/>
    <x v="8"/>
    <s v="深圳市澳亿电子科技有限公司"/>
    <n v="400"/>
    <x v="1"/>
    <x v="0"/>
  </r>
  <r>
    <s v="AI开放平台摄像机"/>
    <s v="深圳市"/>
    <x v="8"/>
    <s v="深圳市珍晨科技有限公司"/>
    <n v="2590"/>
    <x v="1"/>
    <x v="0"/>
  </r>
  <r>
    <s v="AI开放平台摄像机（数字化）"/>
    <s v="深圳市"/>
    <x v="0"/>
    <s v="深圳瑞达网络科技有限公司"/>
    <n v="1070"/>
    <x v="0"/>
    <x v="0"/>
  </r>
  <r>
    <s v="AI开放平台摄像机（数字化）"/>
    <s v="深圳市"/>
    <x v="1"/>
    <s v="北京顺城物流有限公司"/>
    <n v="9900"/>
    <x v="1"/>
    <x v="0"/>
  </r>
  <r>
    <s v="AI开放平台摄像机（数字化）"/>
    <s v="深圳市"/>
    <x v="9"/>
    <s v="深圳市深传科技集团有限公司"/>
    <n v="678000"/>
    <x v="4"/>
    <x v="0"/>
  </r>
  <r>
    <s v="AI开放平台摄像机（数字化）"/>
    <s v="深圳市"/>
    <x v="10"/>
    <s v="艾维智联科技（深圳）有限责任公司"/>
    <n v="680"/>
    <x v="4"/>
    <x v="0"/>
  </r>
  <r>
    <s v="AI开放平台摄像机（数字化）"/>
    <s v="深圳市"/>
    <x v="2"/>
    <s v="深圳市深海湾科技有限公司"/>
    <n v="488"/>
    <x v="0"/>
    <x v="0"/>
  </r>
  <r>
    <s v="AI开放平台摄像机（数字化）"/>
    <s v="深圳市"/>
    <x v="3"/>
    <s v="深圳市影美驰科技发展有限公司"/>
    <n v="2700"/>
    <x v="0"/>
    <x v="0"/>
  </r>
  <r>
    <s v="AI开放平台摄像机（数字化）"/>
    <s v="深圳市"/>
    <x v="4"/>
    <s v="深圳唯创知音电子有限公司"/>
    <n v="10800"/>
    <x v="2"/>
    <x v="0"/>
  </r>
  <r>
    <s v="AI开放平台摄像机（数字化）"/>
    <s v="深圳市"/>
    <x v="11"/>
    <s v="深圳市高远达科技有限公司"/>
    <n v="3600"/>
    <x v="4"/>
    <x v="0"/>
  </r>
  <r>
    <s v="AI开放平台摄像机（数字化）"/>
    <s v="深圳市"/>
    <x v="11"/>
    <s v="深圳数联天下智能科技有限公司"/>
    <n v="2316"/>
    <x v="4"/>
    <x v="0"/>
  </r>
  <r>
    <s v="AI开放平台摄像机（数字化）"/>
    <s v="深圳市"/>
    <x v="12"/>
    <s v="深圳市海康云屏科技有限公司"/>
    <n v="46800"/>
    <x v="4"/>
    <x v="0"/>
  </r>
  <r>
    <s v="AI开放平台摄像机（数字化）"/>
    <s v="深圳市"/>
    <x v="12"/>
    <s v="深圳市鼎士建设工程有限公司"/>
    <n v="2000"/>
    <x v="4"/>
    <x v="0"/>
  </r>
  <r>
    <s v="AI开放平台摄像机（数字化）"/>
    <s v="深圳市"/>
    <x v="12"/>
    <s v="深圳捷易建设集团有限公司"/>
    <n v="3960"/>
    <x v="4"/>
    <x v="0"/>
  </r>
  <r>
    <s v="AI开放平台摄像机（数字化）"/>
    <s v="深圳市"/>
    <x v="13"/>
    <s v="深圳市盛辉腾科技有限公司"/>
    <n v="17600"/>
    <x v="3"/>
    <x v="0"/>
  </r>
  <r>
    <s v="AI开放平台摄像机（数字化）"/>
    <s v="深圳市"/>
    <x v="14"/>
    <s v="深圳市讯耐特科技有限公司"/>
    <n v="1125"/>
    <x v="1"/>
    <x v="0"/>
  </r>
  <r>
    <s v="AI开放平台摄像机（数字化）"/>
    <s v="深圳市"/>
    <x v="6"/>
    <s v="深圳市锐天盛世智能科技有限公司"/>
    <n v="3400"/>
    <x v="0"/>
    <x v="0"/>
  </r>
  <r>
    <s v="AI开放平台摄像机（数字化）"/>
    <s v="深圳市"/>
    <x v="7"/>
    <s v="视昀科技（深圳）有限公司"/>
    <n v="-990"/>
    <x v="1"/>
    <x v="0"/>
  </r>
  <r>
    <s v="AI开放平台摄像机（数字化）"/>
    <s v="深圳市"/>
    <x v="8"/>
    <s v="深圳市叁贰零科技有限公司"/>
    <n v="7402.5"/>
    <x v="1"/>
    <x v="0"/>
  </r>
  <r>
    <s v="AI开放平台摄像机（数字化）"/>
    <s v="深圳市"/>
    <x v="8"/>
    <s v="深圳市珍晨科技有限公司"/>
    <n v="984"/>
    <x v="1"/>
    <x v="0"/>
  </r>
  <r>
    <s v="AI开放平台摄像机（数字化）"/>
    <s v="深圳市"/>
    <x v="15"/>
    <s v="恩凯福科技（深圳）有限公司"/>
    <n v="900"/>
    <x v="4"/>
    <x v="0"/>
  </r>
  <r>
    <s v="AI开放平台超脑"/>
    <s v="深圳市"/>
    <x v="11"/>
    <s v="深圳数联天下智能科技有限公司"/>
    <n v="5250"/>
    <x v="4"/>
    <x v="0"/>
  </r>
  <r>
    <s v="AI开放平台超脑"/>
    <s v="深圳市"/>
    <x v="11"/>
    <s v="深圳泓鲲科技有限公司"/>
    <n v="27500"/>
    <x v="4"/>
    <x v="0"/>
  </r>
  <r>
    <s v="AI开放平台超脑"/>
    <s v="深圳市"/>
    <x v="12"/>
    <s v="深圳市海康云屏科技有限公司"/>
    <n v="2000"/>
    <x v="4"/>
    <x v="0"/>
  </r>
  <r>
    <s v="AI融合巡检超脑"/>
    <s v="深圳市"/>
    <x v="1"/>
    <s v="陕西顺丰速运有限公司"/>
    <n v="30000"/>
    <x v="1"/>
    <x v="0"/>
  </r>
  <r>
    <s v="AI融合巡检超脑"/>
    <s v="深圳市"/>
    <x v="16"/>
    <s v="深圳市瀚尊网络科技有限公司"/>
    <n v="10000"/>
    <x v="0"/>
    <x v="0"/>
  </r>
  <r>
    <s v="AI融合巡检超脑"/>
    <s v="深圳市"/>
    <x v="9"/>
    <s v="深圳市利之宝电子有限公司"/>
    <n v="72000"/>
    <x v="4"/>
    <x v="0"/>
  </r>
  <r>
    <s v="AI融合巡检超脑"/>
    <s v="深圳市"/>
    <x v="9"/>
    <s v="深圳市得一工程有限公司"/>
    <n v="28800"/>
    <x v="4"/>
    <x v="0"/>
  </r>
  <r>
    <s v="AI融合巡检超脑"/>
    <s v="深圳市"/>
    <x v="2"/>
    <s v="深圳市中兴康讯电子有限公司"/>
    <n v="17500"/>
    <x v="0"/>
    <x v="0"/>
  </r>
  <r>
    <s v="AI融合巡检超脑"/>
    <s v="深圳市"/>
    <x v="3"/>
    <s v="深圳市计通智能技术有限公司"/>
    <n v="72802"/>
    <x v="0"/>
    <x v="0"/>
  </r>
  <r>
    <s v="AI融合巡检超脑"/>
    <s v="深圳市"/>
    <x v="3"/>
    <s v="雄泰智慧（深圳）建筑工程有限公司"/>
    <n v="4500"/>
    <x v="0"/>
    <x v="0"/>
  </r>
  <r>
    <s v="AI融合巡检超脑"/>
    <s v="深圳市"/>
    <x v="4"/>
    <s v="深圳市富晋天维信息通讯技术有限公司"/>
    <n v="6050"/>
    <x v="2"/>
    <x v="0"/>
  </r>
  <r>
    <s v="AI融合巡检超脑"/>
    <s v="深圳市"/>
    <x v="4"/>
    <s v="深圳市福安通科技有限公司"/>
    <n v="86000"/>
    <x v="2"/>
    <x v="0"/>
  </r>
  <r>
    <s v="AI融合巡检超脑"/>
    <s v="深圳市"/>
    <x v="11"/>
    <s v="深圳市光数互联智能有限公司"/>
    <n v="50000"/>
    <x v="4"/>
    <x v="0"/>
  </r>
  <r>
    <s v="AI融合巡检超脑"/>
    <s v="深圳市"/>
    <x v="11"/>
    <s v="深圳市华科成长软件有限公司"/>
    <n v="40800"/>
    <x v="4"/>
    <x v="0"/>
  </r>
  <r>
    <s v="AI融合巡检超脑"/>
    <s v="深圳市"/>
    <x v="11"/>
    <s v="深圳市城慧科技有限公司"/>
    <n v="4400"/>
    <x v="4"/>
    <x v="0"/>
  </r>
  <r>
    <s v="AI融合巡检超脑"/>
    <s v="深圳市"/>
    <x v="11"/>
    <s v="深圳市设施之家科技有限公司"/>
    <n v="16500"/>
    <x v="4"/>
    <x v="0"/>
  </r>
  <r>
    <s v="AI融合巡检超脑"/>
    <s v="深圳市"/>
    <x v="11"/>
    <s v="深圳市谦勃科技有限公司"/>
    <n v="27000"/>
    <x v="4"/>
    <x v="0"/>
  </r>
  <r>
    <s v="AI融合巡检超脑"/>
    <s v="深圳市"/>
    <x v="11"/>
    <s v="深圳泓鲲科技有限公司"/>
    <n v="7500"/>
    <x v="4"/>
    <x v="0"/>
  </r>
  <r>
    <s v="AI融合巡检超脑"/>
    <s v="深圳市"/>
    <x v="5"/>
    <s v="深圳市歌华智能科技有限公司"/>
    <n v="384000"/>
    <x v="3"/>
    <x v="0"/>
  </r>
  <r>
    <s v="AI融合巡检超脑"/>
    <s v="深圳市"/>
    <x v="12"/>
    <s v="深圳市旗云智能科技有限公司"/>
    <n v="46000"/>
    <x v="4"/>
    <x v="0"/>
  </r>
  <r>
    <s v="AI融合巡检超脑"/>
    <s v="深圳市"/>
    <x v="12"/>
    <s v="深圳市正杰智能工程有限公司"/>
    <n v="41000"/>
    <x v="4"/>
    <x v="0"/>
  </r>
  <r>
    <s v="AI融合巡检超脑"/>
    <s v="深圳市"/>
    <x v="12"/>
    <s v="深圳英飞拓仁用信息有限公司"/>
    <n v="1375"/>
    <x v="4"/>
    <x v="0"/>
  </r>
  <r>
    <s v="AI融合巡检超脑"/>
    <s v="深圳市"/>
    <x v="17"/>
    <s v="深圳市鼎芯腾飞科技有限公司"/>
    <n v="47040"/>
    <x v="3"/>
    <x v="0"/>
  </r>
  <r>
    <s v="AI融合巡检超脑"/>
    <s v="深圳市"/>
    <x v="6"/>
    <s v="深圳市锐天盛世智能科技有限公司"/>
    <n v="21600"/>
    <x v="0"/>
    <x v="0"/>
  </r>
  <r>
    <s v="AI融合巡检超脑"/>
    <s v="深圳市"/>
    <x v="7"/>
    <s v="深圳卡多尼人工智能技术有限公司"/>
    <n v="23625"/>
    <x v="1"/>
    <x v="0"/>
  </r>
  <r>
    <s v="AI融合巡检超脑"/>
    <s v="深圳市"/>
    <x v="7"/>
    <s v="通九州信息（深圳）有限公司"/>
    <n v="8100"/>
    <x v="1"/>
    <x v="0"/>
  </r>
  <r>
    <s v="AI融合巡检超脑"/>
    <s v="深圳市"/>
    <x v="18"/>
    <s v="维谛技术有限公司"/>
    <n v="365600"/>
    <x v="1"/>
    <x v="0"/>
  </r>
  <r>
    <s v="AI融合巡检超脑"/>
    <s v="深圳市"/>
    <x v="19"/>
    <s v="领湖智能（深圳）有限公司"/>
    <n v="51000"/>
    <x v="0"/>
    <x v="0"/>
  </r>
  <r>
    <s v="专业测温系列"/>
    <s v="深圳市"/>
    <x v="0"/>
    <s v="广东朗翼智像科技有限公司"/>
    <n v="31200"/>
    <x v="0"/>
    <x v="0"/>
  </r>
  <r>
    <s v="专业测温系列"/>
    <s v="深圳市"/>
    <x v="0"/>
    <s v="深圳市铭德通科技有限公司"/>
    <n v="5100"/>
    <x v="0"/>
    <x v="0"/>
  </r>
  <r>
    <s v="专业测温系列"/>
    <s v="深圳市"/>
    <x v="16"/>
    <s v="深圳昱拓智能有限公司"/>
    <n v="32920"/>
    <x v="0"/>
    <x v="0"/>
  </r>
  <r>
    <s v="专业测温系列"/>
    <s v="深圳市"/>
    <x v="9"/>
    <s v="深圳市飞铃智能系统集成有限公司"/>
    <n v="860000"/>
    <x v="4"/>
    <x v="0"/>
  </r>
  <r>
    <s v="专业测温系列"/>
    <s v="深圳市"/>
    <x v="3"/>
    <s v="深圳市计通智能技术有限公司"/>
    <n v="37800"/>
    <x v="0"/>
    <x v="0"/>
  </r>
  <r>
    <s v="专业测温系列"/>
    <s v="深圳市"/>
    <x v="11"/>
    <s v="深圳泓鲲科技有限公司"/>
    <n v="49680"/>
    <x v="4"/>
    <x v="0"/>
  </r>
  <r>
    <s v="专业测温系列"/>
    <s v="深圳市"/>
    <x v="5"/>
    <s v="深圳市中电电力技术股份有限公司"/>
    <n v="20280"/>
    <x v="3"/>
    <x v="0"/>
  </r>
  <r>
    <s v="专业测温系列"/>
    <s v="深圳市"/>
    <x v="5"/>
    <s v="深圳市融通仨立科技有限公司"/>
    <n v="254400"/>
    <x v="3"/>
    <x v="0"/>
  </r>
  <r>
    <s v="专业测温系列"/>
    <s v="深圳市"/>
    <x v="20"/>
    <s v="深圳芯熠科技有限公司"/>
    <n v="178000"/>
    <x v="0"/>
    <x v="0"/>
  </r>
  <r>
    <s v="专业测温系列"/>
    <s v="深圳市"/>
    <x v="19"/>
    <s v="深圳世国科技股份有限公司"/>
    <n v="417800"/>
    <x v="0"/>
    <x v="0"/>
  </r>
  <r>
    <s v="产线相机"/>
    <s v="深圳市"/>
    <x v="0"/>
    <s v="深圳市皓驰安防科技有限公司"/>
    <n v="5880"/>
    <x v="0"/>
    <x v="0"/>
  </r>
  <r>
    <s v="产线相机"/>
    <s v="深圳市"/>
    <x v="1"/>
    <s v="佛山顺丰速运有限公司"/>
    <n v="5879.92"/>
    <x v="1"/>
    <x v="0"/>
  </r>
  <r>
    <s v="产线相机"/>
    <s v="深圳市"/>
    <x v="1"/>
    <s v="湖北顺丰速运有限公司"/>
    <n v="187275"/>
    <x v="1"/>
    <x v="0"/>
  </r>
  <r>
    <s v="产线相机"/>
    <s v="深圳市"/>
    <x v="9"/>
    <s v="广东深志联科技有限公司"/>
    <n v="750"/>
    <x v="4"/>
    <x v="0"/>
  </r>
  <r>
    <s v="产线相机"/>
    <s v="深圳市"/>
    <x v="10"/>
    <s v="江苏跨航贸易有限公司"/>
    <n v="69450"/>
    <x v="4"/>
    <x v="0"/>
  </r>
  <r>
    <s v="产线相机"/>
    <s v="深圳市"/>
    <x v="3"/>
    <s v="深圳市世纪华文实业有限公司"/>
    <n v="1350"/>
    <x v="0"/>
    <x v="0"/>
  </r>
  <r>
    <s v="产线相机"/>
    <s v="深圳市"/>
    <x v="3"/>
    <s v="深圳市晓航智能科技有限公司"/>
    <n v="3200"/>
    <x v="0"/>
    <x v="0"/>
  </r>
  <r>
    <s v="产线相机"/>
    <s v="深圳市"/>
    <x v="11"/>
    <s v="深圳市光数互联智能有限公司"/>
    <n v="5100"/>
    <x v="4"/>
    <x v="0"/>
  </r>
  <r>
    <s v="产线相机"/>
    <s v="深圳市"/>
    <x v="11"/>
    <s v="深圳市设施之家科技有限公司"/>
    <n v="39060"/>
    <x v="4"/>
    <x v="0"/>
  </r>
  <r>
    <s v="产线相机"/>
    <s v="深圳市"/>
    <x v="12"/>
    <s v="深圳市明朗科技有限公司"/>
    <n v="660"/>
    <x v="4"/>
    <x v="0"/>
  </r>
  <r>
    <s v="产线相机"/>
    <s v="深圳市"/>
    <x v="17"/>
    <s v="深圳市阔宏电子科技有限公司"/>
    <n v="675"/>
    <x v="3"/>
    <x v="0"/>
  </r>
  <r>
    <s v="产线相机"/>
    <s v="深圳市"/>
    <x v="13"/>
    <s v="深圳市盛辉腾科技有限公司"/>
    <n v="1950"/>
    <x v="3"/>
    <x v="0"/>
  </r>
  <r>
    <s v="产线相机"/>
    <s v="深圳市"/>
    <x v="20"/>
    <s v="深圳市华弘数库科技有限公司"/>
    <n v="88740"/>
    <x v="0"/>
    <x v="0"/>
  </r>
  <r>
    <s v="产线相机"/>
    <s v="深圳市"/>
    <x v="6"/>
    <s v="深圳市天地联科技有限公司"/>
    <n v="3200"/>
    <x v="0"/>
    <x v="0"/>
  </r>
  <r>
    <s v="产线相机"/>
    <s v="深圳市"/>
    <x v="7"/>
    <s v="深圳市森安科技有限公司"/>
    <n v="1560"/>
    <x v="1"/>
    <x v="0"/>
  </r>
  <r>
    <s v="产线相机"/>
    <s v="深圳市"/>
    <x v="7"/>
    <s v="通九州信息（深圳）有限公司"/>
    <n v="12325"/>
    <x v="1"/>
    <x v="0"/>
  </r>
  <r>
    <s v="产线相机"/>
    <s v="深圳市"/>
    <x v="8"/>
    <s v="深圳市启航电子有限公司"/>
    <n v="3000"/>
    <x v="1"/>
    <x v="0"/>
  </r>
  <r>
    <s v="产线相机"/>
    <s v="深圳市"/>
    <x v="8"/>
    <s v="深圳市天智恒科技发展有限公司"/>
    <n v="9360"/>
    <x v="1"/>
    <x v="0"/>
  </r>
  <r>
    <s v="产线相机"/>
    <s v="深圳市"/>
    <x v="8"/>
    <s v="深圳市珍晨科技有限公司"/>
    <n v="18872"/>
    <x v="1"/>
    <x v="0"/>
  </r>
  <r>
    <s v="产线相机"/>
    <s v="深圳市"/>
    <x v="8"/>
    <s v="深圳市轩辕天恩科技有限公司"/>
    <n v="4100"/>
    <x v="1"/>
    <x v="0"/>
  </r>
  <r>
    <s v="产线相机"/>
    <s v="深圳市"/>
    <x v="19"/>
    <s v="深圳世国科技股份有限公司"/>
    <n v="675"/>
    <x v="0"/>
    <x v="0"/>
  </r>
  <r>
    <s v="产线相机"/>
    <s v="深圳市"/>
    <x v="21"/>
    <s v="深圳市伊建科技有限公司"/>
    <n v="-900"/>
    <x v="3"/>
    <x v="0"/>
  </r>
  <r>
    <s v="产线相机"/>
    <s v="深圳市"/>
    <x v="21"/>
    <s v="深圳市惠联网络技术有限公司"/>
    <n v="825"/>
    <x v="3"/>
    <x v="0"/>
  </r>
  <r>
    <s v="产线相机"/>
    <s v="深圳市"/>
    <x v="15"/>
    <s v="深圳源海通信科技有限公司"/>
    <n v="16800"/>
    <x v="4"/>
    <x v="0"/>
  </r>
  <r>
    <s v="人员定位系列"/>
    <s v="深圳市"/>
    <x v="12"/>
    <s v="深圳市平方科技股份有限公司"/>
    <n v="1080"/>
    <x v="4"/>
    <x v="0"/>
  </r>
  <r>
    <s v="人员定位系列"/>
    <s v="深圳市"/>
    <x v="6"/>
    <s v="深圳市天地联科技有限公司"/>
    <n v="-1800"/>
    <x v="0"/>
    <x v="0"/>
  </r>
  <r>
    <s v="人员定位系列"/>
    <s v="深圳市"/>
    <x v="8"/>
    <s v="深圳青檀芯康养有限公司"/>
    <n v="2638.08"/>
    <x v="1"/>
    <x v="0"/>
  </r>
  <r>
    <s v="商用清洁机器人"/>
    <s v="深圳市"/>
    <x v="2"/>
    <s v="深圳市深海湾科技有限公司"/>
    <n v="1700"/>
    <x v="0"/>
    <x v="0"/>
  </r>
  <r>
    <s v="声振监测系列"/>
    <s v="深圳市"/>
    <x v="0"/>
    <s v="广东朗翼智像科技有限公司"/>
    <n v="319000"/>
    <x v="0"/>
    <x v="0"/>
  </r>
  <r>
    <s v="声振监测系列"/>
    <s v="深圳市"/>
    <x v="0"/>
    <s v="深圳市朗驰欣创科技股份有限公司"/>
    <n v="27250"/>
    <x v="0"/>
    <x v="0"/>
  </r>
  <r>
    <s v="声振监测系列"/>
    <s v="深圳市"/>
    <x v="1"/>
    <s v="鄂州顺路物流有限公司"/>
    <n v="313160"/>
    <x v="1"/>
    <x v="0"/>
  </r>
  <r>
    <s v="大气环境监测"/>
    <s v="深圳市"/>
    <x v="9"/>
    <s v="深圳市得一工程有限公司"/>
    <n v="360"/>
    <x v="4"/>
    <x v="0"/>
  </r>
  <r>
    <s v="大气环境监测"/>
    <s v="深圳市"/>
    <x v="22"/>
    <s v="深圳市鑫天成网络科技有限公司"/>
    <n v="810"/>
    <x v="4"/>
    <x v="0"/>
  </r>
  <r>
    <s v="工业测温云台"/>
    <s v="深圳市"/>
    <x v="0"/>
    <s v="广东朗翼智像科技有限公司"/>
    <n v="25515"/>
    <x v="0"/>
    <x v="0"/>
  </r>
  <r>
    <s v="工业测温云台"/>
    <s v="深圳市"/>
    <x v="0"/>
    <s v="深圳市朗驰欣创科技股份有限公司"/>
    <n v="86715"/>
    <x v="0"/>
    <x v="0"/>
  </r>
  <r>
    <s v="工业测温云台"/>
    <s v="深圳市"/>
    <x v="0"/>
    <s v="深圳江行联加智能科技有限公司"/>
    <n v="70200"/>
    <x v="0"/>
    <x v="0"/>
  </r>
  <r>
    <s v="工业测温云台"/>
    <s v="深圳市"/>
    <x v="16"/>
    <s v="深圳昱拓智能有限公司"/>
    <n v="123400"/>
    <x v="0"/>
    <x v="0"/>
  </r>
  <r>
    <s v="工业测温云台"/>
    <s v="深圳市"/>
    <x v="10"/>
    <s v="深圳市乾海诚为科技有限公司"/>
    <n v="34950"/>
    <x v="4"/>
    <x v="0"/>
  </r>
  <r>
    <s v="工业测温云台"/>
    <s v="深圳市"/>
    <x v="4"/>
    <s v="深圳市百如意科技有限公司"/>
    <n v="16500"/>
    <x v="2"/>
    <x v="0"/>
  </r>
  <r>
    <s v="工业测温云台"/>
    <s v="深圳市"/>
    <x v="11"/>
    <s v="深圳泓鲲科技有限公司"/>
    <n v="46800"/>
    <x v="4"/>
    <x v="0"/>
  </r>
  <r>
    <s v="工业测温云台"/>
    <s v="深圳市"/>
    <x v="20"/>
    <s v="深圳芯熠科技有限公司"/>
    <n v="321600"/>
    <x v="0"/>
    <x v="0"/>
  </r>
  <r>
    <s v="工业测温云台"/>
    <s v="深圳市"/>
    <x v="7"/>
    <s v="通九州信息（深圳）有限公司"/>
    <n v="9230"/>
    <x v="1"/>
    <x v="0"/>
  </r>
  <r>
    <s v="工业测温云台"/>
    <s v="深圳市"/>
    <x v="19"/>
    <s v="深圳市莱达四维信息科技有限公司"/>
    <n v="907546"/>
    <x v="0"/>
    <x v="0"/>
  </r>
  <r>
    <s v="工业测温球机"/>
    <s v="深圳市"/>
    <x v="0"/>
    <s v="广东朗翼智像科技有限公司"/>
    <n v="135827"/>
    <x v="0"/>
    <x v="0"/>
  </r>
  <r>
    <s v="工业测温球机"/>
    <s v="深圳市"/>
    <x v="0"/>
    <s v="深圳江行联加智能科技有限公司"/>
    <n v="120894"/>
    <x v="0"/>
    <x v="0"/>
  </r>
  <r>
    <s v="工业测温球机"/>
    <s v="深圳市"/>
    <x v="16"/>
    <s v="深圳昱拓智能有限公司"/>
    <n v="328800"/>
    <x v="0"/>
    <x v="0"/>
  </r>
  <r>
    <s v="工业测温球机"/>
    <s v="深圳市"/>
    <x v="2"/>
    <s v="广东中天工程技术有限公司"/>
    <n v="9000"/>
    <x v="0"/>
    <x v="0"/>
  </r>
  <r>
    <s v="工业测温球机"/>
    <s v="深圳市"/>
    <x v="11"/>
    <s v="深圳市科荣软件股份有限公司"/>
    <n v="60528"/>
    <x v="4"/>
    <x v="0"/>
  </r>
  <r>
    <s v="工业测温球机"/>
    <s v="深圳市"/>
    <x v="5"/>
    <s v="华创科电（江苏）智能科技有限公司"/>
    <n v="9270"/>
    <x v="3"/>
    <x v="0"/>
  </r>
  <r>
    <s v="工业测温球机"/>
    <s v="深圳市"/>
    <x v="5"/>
    <s v="深圳市中电电力技术股份有限公司"/>
    <n v="11330"/>
    <x v="3"/>
    <x v="0"/>
  </r>
  <r>
    <s v="工业测温球机"/>
    <s v="深圳市"/>
    <x v="20"/>
    <s v="深圳芯熠科技有限公司"/>
    <n v="171500"/>
    <x v="0"/>
    <x v="0"/>
  </r>
  <r>
    <s v="工业测温球机"/>
    <s v="深圳市"/>
    <x v="19"/>
    <s v="张家口鸿宗科技有限公司"/>
    <n v="178500"/>
    <x v="0"/>
    <x v="0"/>
  </r>
  <r>
    <s v="工业测温筒机半球"/>
    <s v="深圳市"/>
    <x v="0"/>
    <s v="广东朗翼智像科技有限公司"/>
    <n v="11250"/>
    <x v="0"/>
    <x v="0"/>
  </r>
  <r>
    <s v="工业测温筒机半球"/>
    <s v="深圳市"/>
    <x v="0"/>
    <s v="深圳市乐安视智能科技有限公司"/>
    <n v="16872"/>
    <x v="0"/>
    <x v="0"/>
  </r>
  <r>
    <s v="工业测温筒机半球"/>
    <s v="深圳市"/>
    <x v="1"/>
    <s v="湖北顺丰速运有限公司"/>
    <n v="235824"/>
    <x v="1"/>
    <x v="0"/>
  </r>
  <r>
    <s v="工业测温筒机半球"/>
    <s v="深圳市"/>
    <x v="9"/>
    <s v="城信科技股份有限公司"/>
    <n v="16920"/>
    <x v="4"/>
    <x v="0"/>
  </r>
  <r>
    <s v="工业测温筒机半球"/>
    <s v="深圳市"/>
    <x v="9"/>
    <s v="广东深志联科技有限公司"/>
    <n v="1750"/>
    <x v="4"/>
    <x v="0"/>
  </r>
  <r>
    <s v="工业测温筒机半球"/>
    <s v="深圳市"/>
    <x v="9"/>
    <s v="深圳市得一工程有限公司"/>
    <n v="4200"/>
    <x v="4"/>
    <x v="0"/>
  </r>
  <r>
    <s v="工业测温筒机半球"/>
    <s v="深圳市"/>
    <x v="9"/>
    <s v="深圳腾力信息有限公司"/>
    <n v="6480"/>
    <x v="4"/>
    <x v="0"/>
  </r>
  <r>
    <s v="工业测温筒机半球"/>
    <s v="深圳市"/>
    <x v="10"/>
    <s v="深圳市乾海诚为科技有限公司"/>
    <n v="4000"/>
    <x v="4"/>
    <x v="0"/>
  </r>
  <r>
    <s v="工业测温筒机半球"/>
    <s v="深圳市"/>
    <x v="22"/>
    <s v="深圳市信泰诚信息技术有限公司"/>
    <n v="24860"/>
    <x v="4"/>
    <x v="0"/>
  </r>
  <r>
    <s v="工业测温筒机半球"/>
    <s v="深圳市"/>
    <x v="22"/>
    <s v="深圳市鑫天成网络科技有限公司"/>
    <n v="3500"/>
    <x v="4"/>
    <x v="0"/>
  </r>
  <r>
    <s v="工业测温筒机半球"/>
    <s v="深圳市"/>
    <x v="3"/>
    <s v="深圳市计通智能技术有限公司"/>
    <n v="15475"/>
    <x v="0"/>
    <x v="0"/>
  </r>
  <r>
    <s v="工业测温筒机半球"/>
    <s v="深圳市"/>
    <x v="11"/>
    <s v="深圳市惠众网络通信有限公司"/>
    <n v="19250"/>
    <x v="4"/>
    <x v="0"/>
  </r>
  <r>
    <s v="工业测温筒机半球"/>
    <s v="深圳市"/>
    <x v="11"/>
    <s v="深圳市经恒智联科技有限公司"/>
    <n v="2050"/>
    <x v="4"/>
    <x v="0"/>
  </r>
  <r>
    <s v="工业测温筒机半球"/>
    <s v="深圳市"/>
    <x v="5"/>
    <s v="华创科电（江苏）智能科技有限公司"/>
    <n v="55282.97"/>
    <x v="3"/>
    <x v="0"/>
  </r>
  <r>
    <s v="工业测温筒机半球"/>
    <s v="深圳市"/>
    <x v="5"/>
    <s v="深圳市中电电力技术股份有限公司"/>
    <n v="8240"/>
    <x v="3"/>
    <x v="0"/>
  </r>
  <r>
    <s v="工业测温筒机半球"/>
    <s v="深圳市"/>
    <x v="12"/>
    <s v="深圳市海康云屏科技有限公司"/>
    <n v="3850"/>
    <x v="4"/>
    <x v="0"/>
  </r>
  <r>
    <s v="工业测温筒机半球"/>
    <s v="深圳市"/>
    <x v="14"/>
    <s v="深圳市米乐生活科技有限公司"/>
    <n v="319770"/>
    <x v="1"/>
    <x v="0"/>
  </r>
  <r>
    <s v="工业测温筒机半球"/>
    <s v="深圳市"/>
    <x v="20"/>
    <s v="深圳市华弘数库科技有限公司"/>
    <n v="104000"/>
    <x v="0"/>
    <x v="0"/>
  </r>
  <r>
    <s v="工业测温筒机半球"/>
    <s v="深圳市"/>
    <x v="20"/>
    <s v="深圳芯熠科技有限公司"/>
    <n v="19000"/>
    <x v="0"/>
    <x v="0"/>
  </r>
  <r>
    <s v="工业测温筒机半球"/>
    <s v="深圳市"/>
    <x v="7"/>
    <s v="深圳卡多尼人工智能技术有限公司"/>
    <n v="34960"/>
    <x v="1"/>
    <x v="0"/>
  </r>
  <r>
    <s v="工业测温筒机半球"/>
    <s v="深圳市"/>
    <x v="8"/>
    <s v="深圳市珍晨科技有限公司"/>
    <n v="5760"/>
    <x v="1"/>
    <x v="0"/>
  </r>
  <r>
    <s v="工业测温筒机半球"/>
    <s v="深圳市"/>
    <x v="18"/>
    <s v="深圳市霁熙互联网技术服务有限责任公司"/>
    <n v="4950"/>
    <x v="1"/>
    <x v="0"/>
  </r>
  <r>
    <s v="工业测温筒机半球"/>
    <s v="深圳市"/>
    <x v="19"/>
    <s v="深圳前海腾飞科技有限公司"/>
    <n v="24336"/>
    <x v="0"/>
    <x v="0"/>
  </r>
  <r>
    <s v="工业测温筒机半球"/>
    <s v="深圳市"/>
    <x v="19"/>
    <s v="深圳市知网智能技术有限公司"/>
    <n v="8750"/>
    <x v="0"/>
    <x v="0"/>
  </r>
  <r>
    <s v="工业测温筒机半球"/>
    <s v="深圳市"/>
    <x v="21"/>
    <s v="深圳市奥图威尔科技有限公司"/>
    <n v="13750"/>
    <x v="3"/>
    <x v="0"/>
  </r>
  <r>
    <s v="工业测温筒机半球"/>
    <s v="深圳市"/>
    <x v="23"/>
    <s v="广东源禾智智能科技有限公司深圳分公司"/>
    <n v="18000"/>
    <x v="2"/>
    <x v="0"/>
  </r>
  <r>
    <s v="工业测温筒机半球"/>
    <s v="深圳市"/>
    <x v="15"/>
    <s v="恩凯福科技（深圳）有限公司"/>
    <n v="15000"/>
    <x v="4"/>
    <x v="0"/>
  </r>
  <r>
    <s v="工业测温筒机半球"/>
    <s v="深圳市"/>
    <x v="15"/>
    <s v="深圳市蓝牛信息技术有限公司"/>
    <n v="6750"/>
    <x v="4"/>
    <x v="0"/>
  </r>
  <r>
    <s v="工业测温筒机半球"/>
    <s v="深圳市"/>
    <x v="15"/>
    <s v="深圳鹊晢科技有限公司"/>
    <n v="1800"/>
    <x v="4"/>
    <x v="0"/>
  </r>
  <r>
    <s v="工位溯源双目相机"/>
    <s v="深圳市"/>
    <x v="2"/>
    <s v="深圳市深海湾科技有限公司"/>
    <n v="20655"/>
    <x v="0"/>
    <x v="0"/>
  </r>
  <r>
    <s v="工位溯源双目相机"/>
    <s v="深圳市"/>
    <x v="4"/>
    <s v="深圳市安普联讯科技有限公司"/>
    <n v="990"/>
    <x v="2"/>
    <x v="0"/>
  </r>
  <r>
    <s v="工位溯源双目相机"/>
    <s v="深圳市"/>
    <x v="17"/>
    <s v="深圳市东兴建设有限公司"/>
    <n v="900"/>
    <x v="3"/>
    <x v="0"/>
  </r>
  <r>
    <s v="工位溯源双目相机"/>
    <s v="深圳市"/>
    <x v="21"/>
    <s v="深圳智慧赛宁科技有限公司"/>
    <n v="1710"/>
    <x v="3"/>
    <x v="0"/>
  </r>
  <r>
    <s v="微距摄像机"/>
    <s v="深圳市"/>
    <x v="0"/>
    <s v="深圳市乐安视智能科技有限公司"/>
    <n v="4005"/>
    <x v="0"/>
    <x v="0"/>
  </r>
  <r>
    <s v="微距摄像机"/>
    <s v="深圳市"/>
    <x v="0"/>
    <s v="深圳江行联加智能科技有限公司"/>
    <n v="35469"/>
    <x v="0"/>
    <x v="0"/>
  </r>
  <r>
    <s v="微距摄像机"/>
    <s v="深圳市"/>
    <x v="16"/>
    <s v="深圳昱拓智能有限公司"/>
    <n v="1188"/>
    <x v="0"/>
    <x v="0"/>
  </r>
  <r>
    <s v="微距摄像机"/>
    <s v="深圳市"/>
    <x v="3"/>
    <s v="深圳市信维通科技有限公司"/>
    <n v="11100"/>
    <x v="0"/>
    <x v="0"/>
  </r>
  <r>
    <s v="微距摄像机"/>
    <s v="深圳市"/>
    <x v="4"/>
    <s v="万勋科技（深圳）有限公司"/>
    <n v="1180"/>
    <x v="2"/>
    <x v="0"/>
  </r>
  <r>
    <s v="微距摄像机"/>
    <s v="深圳市"/>
    <x v="4"/>
    <s v="深圳亿锦泰科技开发有限公司"/>
    <n v="644"/>
    <x v="2"/>
    <x v="0"/>
  </r>
  <r>
    <s v="微距摄像机"/>
    <s v="深圳市"/>
    <x v="4"/>
    <s v="深圳市德宝智能科技有限公司"/>
    <n v="1500"/>
    <x v="2"/>
    <x v="0"/>
  </r>
  <r>
    <s v="微距摄像机"/>
    <s v="深圳市"/>
    <x v="11"/>
    <s v="深圳市谦勃科技有限公司"/>
    <n v="5352"/>
    <x v="4"/>
    <x v="0"/>
  </r>
  <r>
    <s v="微距摄像机"/>
    <s v="深圳市"/>
    <x v="11"/>
    <s v="深圳泓鲲科技有限公司"/>
    <n v="5520"/>
    <x v="4"/>
    <x v="0"/>
  </r>
  <r>
    <s v="微距摄像机"/>
    <s v="深圳市"/>
    <x v="12"/>
    <s v="深圳盈泰利华技术有限责任公司"/>
    <n v="1430"/>
    <x v="4"/>
    <x v="0"/>
  </r>
  <r>
    <s v="微距摄像机"/>
    <s v="深圳市"/>
    <x v="13"/>
    <s v="深圳市灵枢智显科技有限公司"/>
    <n v="1200"/>
    <x v="3"/>
    <x v="0"/>
  </r>
  <r>
    <s v="微距摄像机"/>
    <s v="深圳市"/>
    <x v="6"/>
    <s v="深圳市光科奈可科技有限公司"/>
    <n v="465"/>
    <x v="0"/>
    <x v="0"/>
  </r>
  <r>
    <s v="微距摄像机"/>
    <s v="深圳市"/>
    <x v="7"/>
    <s v="通九州信息（深圳）有限公司"/>
    <n v="480"/>
    <x v="1"/>
    <x v="0"/>
  </r>
  <r>
    <s v="微距摄像机"/>
    <s v="深圳市"/>
    <x v="8"/>
    <s v="深圳市天智恒科技发展有限公司"/>
    <n v="2120"/>
    <x v="1"/>
    <x v="0"/>
  </r>
  <r>
    <s v="微距摄像机"/>
    <s v="深圳市"/>
    <x v="19"/>
    <s v="深圳市华拓科技有限公司"/>
    <n v="666"/>
    <x v="0"/>
    <x v="0"/>
  </r>
  <r>
    <s v="微距摄像机"/>
    <s v="深圳市"/>
    <x v="19"/>
    <s v="深圳市莱达四维信息科技有限公司"/>
    <n v="11780"/>
    <x v="0"/>
    <x v="0"/>
  </r>
  <r>
    <s v="微距摄像机"/>
    <s v="深圳市"/>
    <x v="19"/>
    <s v="深圳项荣科技有限公司"/>
    <n v="3500"/>
    <x v="0"/>
    <x v="0"/>
  </r>
  <r>
    <s v="微距摄像机"/>
    <s v="深圳市"/>
    <x v="23"/>
    <s v="深圳市天和时代电子设备制造有限公司"/>
    <n v="615"/>
    <x v="2"/>
    <x v="0"/>
  </r>
  <r>
    <s v="扫描雷达"/>
    <s v="深圳市"/>
    <x v="11"/>
    <s v="深圳市光数互联智能有限公司"/>
    <n v="102000"/>
    <x v="4"/>
    <x v="0"/>
  </r>
  <r>
    <s v="扫描雷达"/>
    <s v="深圳市"/>
    <x v="12"/>
    <s v="深圳盈泰利华技术有限责任公司"/>
    <n v="43000"/>
    <x v="4"/>
    <x v="0"/>
  </r>
  <r>
    <s v="扫码手持终端（PDA）"/>
    <s v="深圳市"/>
    <x v="11"/>
    <s v="深圳市科荣软件股份有限公司"/>
    <n v="1950"/>
    <x v="4"/>
    <x v="0"/>
  </r>
  <r>
    <s v="扫码手持终端（PDA）"/>
    <s v="深圳市"/>
    <x v="13"/>
    <s v="深圳市海鹰实业有限公司"/>
    <n v="82400"/>
    <x v="3"/>
    <x v="0"/>
  </r>
  <r>
    <s v="扫码手持终端（PDA）"/>
    <s v="深圳市"/>
    <x v="13"/>
    <s v="顶码（深圳）科技有限公司"/>
    <n v="15831"/>
    <x v="3"/>
    <x v="0"/>
  </r>
  <r>
    <s v="扫码手持终端（PDA）"/>
    <s v="深圳市"/>
    <x v="8"/>
    <s v="深圳市叁贰零科技有限公司"/>
    <n v="3300"/>
    <x v="1"/>
    <x v="0"/>
  </r>
  <r>
    <s v="扫码手持终端（PDA）"/>
    <s v="深圳市"/>
    <x v="8"/>
    <s v="深圳市珍晨科技有限公司"/>
    <n v="5720"/>
    <x v="1"/>
    <x v="0"/>
  </r>
  <r>
    <s v="扫码手持终端（PDA）"/>
    <s v="深圳市"/>
    <x v="19"/>
    <s v="深圳前海腾飞科技有限公司"/>
    <n v="22000"/>
    <x v="0"/>
    <x v="0"/>
  </r>
  <r>
    <s v="扫码手持终端（PDA）"/>
    <s v="深圳市"/>
    <x v="19"/>
    <s v="深圳市优备电子科技有限公司"/>
    <n v="2100"/>
    <x v="0"/>
    <x v="0"/>
  </r>
  <r>
    <s v="扫码手持终端（PDA）"/>
    <s v="深圳市"/>
    <x v="19"/>
    <s v="深圳市汇恒通科技有限公司"/>
    <n v="66576"/>
    <x v="0"/>
    <x v="0"/>
  </r>
  <r>
    <s v="扫码手持终端（PDA）"/>
    <s v="深圳市"/>
    <x v="19"/>
    <s v="深圳市知网智能技术有限公司"/>
    <n v="278600"/>
    <x v="0"/>
    <x v="0"/>
  </r>
  <r>
    <s v="扫码手持终端（PDA）"/>
    <s v="深圳市"/>
    <x v="21"/>
    <s v="深圳智慧赛宁科技有限公司"/>
    <n v="5199"/>
    <x v="3"/>
    <x v="0"/>
  </r>
  <r>
    <s v="抗振相机系列"/>
    <s v="深圳市"/>
    <x v="2"/>
    <s v="深圳市深海湾科技有限公司"/>
    <n v="4150"/>
    <x v="0"/>
    <x v="0"/>
  </r>
  <r>
    <s v="抗振相机系列"/>
    <s v="深圳市"/>
    <x v="5"/>
    <s v="深圳市晨数科技有限公司"/>
    <n v="8100"/>
    <x v="3"/>
    <x v="0"/>
  </r>
  <r>
    <s v="抗振相机系列"/>
    <s v="深圳市"/>
    <x v="12"/>
    <s v="深圳盈泰利华技术有限责任公司"/>
    <n v="18740"/>
    <x v="4"/>
    <x v="0"/>
  </r>
  <r>
    <s v="抗振相机系列"/>
    <s v="深圳市"/>
    <x v="20"/>
    <s v="深圳市尚实科技有限公司"/>
    <n v="103680"/>
    <x v="0"/>
    <x v="0"/>
  </r>
  <r>
    <s v="抗振相机系列"/>
    <s v="深圳市"/>
    <x v="15"/>
    <s v="海通科创（深圳）有限公司"/>
    <n v="36605"/>
    <x v="4"/>
    <x v="0"/>
  </r>
  <r>
    <s v="物位计"/>
    <s v="深圳市"/>
    <x v="12"/>
    <s v="深圳盈泰利华技术有限责任公司"/>
    <n v="21300"/>
    <x v="4"/>
    <x v="0"/>
  </r>
  <r>
    <s v="紫外电晕在线监测仪"/>
    <s v="深圳市"/>
    <x v="0"/>
    <s v="深圳市朗驰欣创科技股份有限公司"/>
    <n v="163600"/>
    <x v="0"/>
    <x v="0"/>
  </r>
  <r>
    <s v="耐高温系列"/>
    <s v="深圳市"/>
    <x v="5"/>
    <s v="深圳市梧悠信息技术有限公司"/>
    <n v="4600"/>
    <x v="3"/>
    <x v="0"/>
  </r>
  <r>
    <s v="耐高温系列"/>
    <s v="深圳市"/>
    <x v="12"/>
    <s v="深圳盈泰利华技术有限责任公司"/>
    <n v="117000"/>
    <x v="4"/>
    <x v="0"/>
  </r>
  <r>
    <s v="耐高温系列"/>
    <s v="深圳市"/>
    <x v="14"/>
    <s v="深圳市方联伟业科技有限公司"/>
    <n v="4000"/>
    <x v="1"/>
    <x v="0"/>
  </r>
  <r>
    <s v="耐高温系列"/>
    <s v="深圳市"/>
    <x v="15"/>
    <s v="深圳市蓝牛信息技术有限公司"/>
    <n v="27540"/>
    <x v="4"/>
    <x v="0"/>
  </r>
  <r>
    <s v="观测球机系列（位移、水位、流量）"/>
    <s v="深圳市"/>
    <x v="17"/>
    <s v="深圳市东兴建设有限公司"/>
    <n v="2250"/>
    <x v="3"/>
    <x v="0"/>
  </r>
  <r>
    <s v="视觉位移监测相机"/>
    <s v="深圳市"/>
    <x v="9"/>
    <s v="深圳市晓润智慧科技有限公司"/>
    <n v="2200"/>
    <x v="4"/>
    <x v="0"/>
  </r>
  <r>
    <s v="避障雷达"/>
    <s v="深圳市"/>
    <x v="3"/>
    <s v="深圳市特发信息股份有限公司"/>
    <n v="36000"/>
    <x v="0"/>
    <x v="0"/>
  </r>
  <r>
    <s v="长宽高测量雷达"/>
    <s v="深圳市"/>
    <x v="3"/>
    <s v="雄泰智慧（深圳）建筑工程有限公司"/>
    <n v="6606"/>
    <x v="0"/>
    <x v="0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  <r>
    <m/>
    <m/>
    <x v="24"/>
    <m/>
    <m/>
    <x v="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">
  <r>
    <x v="0"/>
    <s v="交换机（核心轻框/多光多电)"/>
    <n v="0.97499999999999998"/>
    <x v="0"/>
  </r>
  <r>
    <x v="0"/>
    <s v="人员通道（御道/简行/票务闸机）"/>
    <n v="2.8767999999999998"/>
    <x v="0"/>
  </r>
  <r>
    <x v="0"/>
    <s v="前端大模型摄像机"/>
    <n v="66.816000000000003"/>
    <x v="0"/>
  </r>
  <r>
    <x v="0"/>
    <s v="场景专用球机"/>
    <n v="1.56"/>
    <x v="0"/>
  </r>
  <r>
    <x v="0"/>
    <s v="臻全彩IPC"/>
    <n v="0.10249999999999999"/>
    <x v="0"/>
  </r>
  <r>
    <x v="1"/>
    <s v="臻全彩IPC"/>
    <n v="0.3296"/>
    <x v="0"/>
  </r>
  <r>
    <x v="2"/>
    <s v="人员通道（御道/简行/票务闸机）"/>
    <n v="1.9685999999999999"/>
    <x v="0"/>
  </r>
  <r>
    <x v="2"/>
    <s v="文搜中心存储"/>
    <n v="12.42"/>
    <x v="0"/>
  </r>
  <r>
    <x v="3"/>
    <s v="人员通道（御道/简行/票务闸机）"/>
    <n v="1.7849999999999999"/>
    <x v="0"/>
  </r>
  <r>
    <x v="3"/>
    <s v="前端大模型摄像机"/>
    <n v="1.9584999999999999"/>
    <x v="0"/>
  </r>
  <r>
    <x v="3"/>
    <s v="场景专用球机"/>
    <n v="12.505000000000001"/>
    <x v="0"/>
  </r>
  <r>
    <x v="3"/>
    <s v="文搜中心存储"/>
    <n v="4.26"/>
    <x v="0"/>
  </r>
  <r>
    <x v="3"/>
    <s v="臻全彩IPC"/>
    <n v="8.2036999999999995"/>
    <x v="0"/>
  </r>
  <r>
    <x v="4"/>
    <s v="专用相机（耐高温/抗振防抖)"/>
    <n v="12.804"/>
    <x v="0"/>
  </r>
  <r>
    <x v="4"/>
    <s v="人员通道（御道/简行/票务闸机）"/>
    <n v="3.18"/>
    <x v="0"/>
  </r>
  <r>
    <x v="4"/>
    <s v="前端大模型摄像机"/>
    <n v="1.0960000000000001"/>
    <x v="0"/>
  </r>
  <r>
    <x v="4"/>
    <s v="场景专用球机"/>
    <n v="9.2249999999999996"/>
    <x v="0"/>
  </r>
  <r>
    <x v="4"/>
    <s v="臻全彩IPC"/>
    <n v="0.61380000000000001"/>
    <x v="0"/>
  </r>
  <r>
    <x v="4"/>
    <s v="门禁（国密/国产化）"/>
    <n v="0.14399999999999999"/>
    <x v="0"/>
  </r>
  <r>
    <x v="5"/>
    <s v="专用相机（耐高温/抗振防抖)"/>
    <n v="5.0045000000000002"/>
    <x v="0"/>
  </r>
  <r>
    <x v="5"/>
    <s v="前端大模型摄像机"/>
    <n v="3.28"/>
    <x v="0"/>
  </r>
  <r>
    <x v="6"/>
    <s v="专用相机（耐高温/抗振防抖)"/>
    <n v="1.27"/>
    <x v="1"/>
  </r>
  <r>
    <x v="6"/>
    <s v="前端大模型摄像机"/>
    <n v="7.1999999999999995E-2"/>
    <x v="1"/>
  </r>
  <r>
    <x v="6"/>
    <s v="臻全彩IPC"/>
    <n v="2.4740000000000002"/>
    <x v="1"/>
  </r>
  <r>
    <x v="7"/>
    <s v="前端大模型摄像机"/>
    <n v="1.4008"/>
    <x v="1"/>
  </r>
  <r>
    <x v="7"/>
    <s v="安防PC"/>
    <n v="1.2741"/>
    <x v="1"/>
  </r>
  <r>
    <x v="7"/>
    <s v="服务器（云计算一体机/优势芯片整机/校时）"/>
    <n v="2.6053999999999999"/>
    <x v="1"/>
  </r>
  <r>
    <x v="7"/>
    <s v="臻全彩IPC"/>
    <n v="0.5071"/>
    <x v="1"/>
  </r>
  <r>
    <x v="8"/>
    <s v="人员通道（御道/简行/票务闸机）"/>
    <n v="1.1850000000000001"/>
    <x v="1"/>
  </r>
  <r>
    <x v="8"/>
    <s v="臻全彩IPC"/>
    <n v="2.8001999999999998"/>
    <x v="1"/>
  </r>
  <r>
    <x v="8"/>
    <s v="音频(8000n/4000n系列)"/>
    <n v="0.22950000000000001"/>
    <x v="1"/>
  </r>
  <r>
    <x v="9"/>
    <s v="&quot;界盾&quot;视频防火墙"/>
    <n v="2.64"/>
    <x v="1"/>
  </r>
  <r>
    <x v="9"/>
    <s v="前端大模型摄像机"/>
    <n v="5.7472000000000003"/>
    <x v="1"/>
  </r>
  <r>
    <x v="9"/>
    <s v="大模型抓拍机"/>
    <n v="0.65"/>
    <x v="1"/>
  </r>
  <r>
    <x v="9"/>
    <s v="臻全彩IPC"/>
    <n v="1.1140000000000001"/>
    <x v="1"/>
  </r>
  <r>
    <x v="9"/>
    <s v="门禁（国密/国产化）"/>
    <n v="0.36"/>
    <x v="1"/>
  </r>
  <r>
    <x v="10"/>
    <s v="&quot;界盾&quot;视频防火墙"/>
    <n v="0.33600000000000002"/>
    <x v="2"/>
  </r>
  <r>
    <x v="10"/>
    <s v="人员通道（御道/简行/票务闸机）"/>
    <n v="3.48"/>
    <x v="2"/>
  </r>
  <r>
    <x v="10"/>
    <s v="安防PC"/>
    <n v="0.148032"/>
    <x v="2"/>
  </r>
  <r>
    <x v="10"/>
    <s v="臻全彩IPC"/>
    <n v="4.5308820000000001"/>
    <x v="2"/>
  </r>
  <r>
    <x v="11"/>
    <s v="专用相机（耐高温/抗振防抖)"/>
    <n v="0.4"/>
    <x v="2"/>
  </r>
  <r>
    <x v="11"/>
    <s v="人员通道（御道/简行/票务闸机）"/>
    <n v="9.7119999999999997"/>
    <x v="2"/>
  </r>
  <r>
    <x v="11"/>
    <s v="前端大模型摄像机"/>
    <n v="8.5500000000000007E-2"/>
    <x v="2"/>
  </r>
  <r>
    <x v="11"/>
    <s v="服务器（云计算一体机/优势芯片整机/校时）"/>
    <n v="2.4983"/>
    <x v="2"/>
  </r>
  <r>
    <x v="11"/>
    <s v="臻全彩IPC"/>
    <n v="16.100999999999999"/>
    <x v="2"/>
  </r>
  <r>
    <x v="11"/>
    <s v="门禁（国密/国产化）"/>
    <n v="2.8E-3"/>
    <x v="2"/>
  </r>
  <r>
    <x v="12"/>
    <s v="人员通道（御道/简行/票务闸机）"/>
    <n v="1.07"/>
    <x v="2"/>
  </r>
  <r>
    <x v="12"/>
    <s v="前端大模型摄像机"/>
    <n v="1.44"/>
    <x v="2"/>
  </r>
  <r>
    <x v="12"/>
    <s v="安防PC"/>
    <n v="1.1792"/>
    <x v="2"/>
  </r>
  <r>
    <x v="12"/>
    <s v="智慧物联综合管控平台"/>
    <n v="0.11"/>
    <x v="2"/>
  </r>
  <r>
    <x v="12"/>
    <s v="臻全彩IPC"/>
    <n v="2.66"/>
    <x v="2"/>
  </r>
  <r>
    <x v="13"/>
    <s v="人员通道（御道/简行/票务闸机）"/>
    <n v="-1.0244"/>
    <x v="2"/>
  </r>
  <r>
    <x v="13"/>
    <s v="臻全彩IPC"/>
    <n v="7.6999999999999999E-2"/>
    <x v="2"/>
  </r>
  <r>
    <x v="14"/>
    <s v="人员通道（御道/简行/票务闸机）"/>
    <n v="2.6585000000000001"/>
    <x v="2"/>
  </r>
  <r>
    <x v="14"/>
    <s v="前端大模型摄像机"/>
    <n v="0.28839999999999999"/>
    <x v="2"/>
  </r>
  <r>
    <x v="14"/>
    <s v="安防PC"/>
    <n v="2.1720999999999999"/>
    <x v="2"/>
  </r>
  <r>
    <x v="14"/>
    <s v="臻全彩IPC"/>
    <n v="0.60660000000000003"/>
    <x v="2"/>
  </r>
  <r>
    <x v="14"/>
    <s v="门禁（国密/国产化）"/>
    <n v="8.0314300000000003"/>
    <x v="2"/>
  </r>
  <r>
    <x v="15"/>
    <s v="交换机（核心轻框/多光多电)"/>
    <n v="1.5275000000000001"/>
    <x v="3"/>
  </r>
  <r>
    <x v="15"/>
    <s v="前端大模型摄像机"/>
    <n v="0.58799999999999997"/>
    <x v="3"/>
  </r>
  <r>
    <x v="15"/>
    <s v="场景专用球机"/>
    <n v="0.29210000000000003"/>
    <x v="3"/>
  </r>
  <r>
    <x v="15"/>
    <s v="服务器（云计算一体机/优势芯片整机/校时）"/>
    <n v="3.8029000000000002"/>
    <x v="3"/>
  </r>
  <r>
    <x v="15"/>
    <s v="臻全彩IPC"/>
    <n v="2.3601999999999999"/>
    <x v="3"/>
  </r>
  <r>
    <x v="16"/>
    <s v="&quot;界盾&quot;视频防火墙"/>
    <n v="1.88"/>
    <x v="3"/>
  </r>
  <r>
    <x v="16"/>
    <s v="人员通道（御道/简行/票务闸机）"/>
    <n v="-3.88"/>
    <x v="3"/>
  </r>
  <r>
    <x v="16"/>
    <s v="前端大模型摄像机"/>
    <n v="1.4743999999999999"/>
    <x v="3"/>
  </r>
  <r>
    <x v="16"/>
    <s v="服务器（云计算一体机/优势芯片整机/校时）"/>
    <n v="7.42835"/>
    <x v="3"/>
  </r>
  <r>
    <x v="16"/>
    <s v="臻全彩IPC"/>
    <n v="4.3743999999999996"/>
    <x v="3"/>
  </r>
  <r>
    <x v="17"/>
    <s v="前端大模型摄像机"/>
    <n v="0.44190000000000002"/>
    <x v="3"/>
  </r>
  <r>
    <x v="17"/>
    <s v="安防PC"/>
    <n v="-0.33410000000000001"/>
    <x v="3"/>
  </r>
  <r>
    <x v="17"/>
    <s v="门禁（国密/国产化）"/>
    <n v="2.0459999999999998"/>
    <x v="3"/>
  </r>
  <r>
    <x v="18"/>
    <s v="&quot;界盾&quot;视频防火墙"/>
    <n v="0.32"/>
    <x v="3"/>
  </r>
  <r>
    <x v="18"/>
    <s v="前端大模型摄像机"/>
    <n v="0.57499999999999996"/>
    <x v="3"/>
  </r>
  <r>
    <x v="18"/>
    <s v="智慧物联综合管控平台"/>
    <n v="5.32"/>
    <x v="3"/>
  </r>
  <r>
    <x v="18"/>
    <s v="服务器（云计算一体机/优势芯片整机/校时）"/>
    <n v="2.4984999999999999"/>
    <x v="3"/>
  </r>
  <r>
    <x v="18"/>
    <s v="臻全彩IPC"/>
    <n v="1.2336"/>
    <x v="3"/>
  </r>
  <r>
    <x v="18"/>
    <s v="门禁（国密/国产化）"/>
    <n v="13.316700000000001"/>
    <x v="3"/>
  </r>
  <r>
    <x v="19"/>
    <s v="专用相机（耐高温/抗振防抖)"/>
    <n v="10.368"/>
    <x v="3"/>
  </r>
  <r>
    <x v="19"/>
    <s v="人员通道（御道/简行/票务闸机）"/>
    <n v="2.2168999999999999"/>
    <x v="3"/>
  </r>
  <r>
    <x v="19"/>
    <s v="前端大模型摄像机"/>
    <n v="17.252800000000001"/>
    <x v="3"/>
  </r>
  <r>
    <x v="19"/>
    <s v="服务器（云计算一体机/优势芯片整机/校时）"/>
    <n v="53.975999999999999"/>
    <x v="3"/>
  </r>
  <r>
    <x v="19"/>
    <s v="臻全彩IPC"/>
    <n v="3.7692999999999999"/>
    <x v="3"/>
  </r>
  <r>
    <x v="20"/>
    <s v="臻全彩IPC"/>
    <n v="0.29599999999999999"/>
    <x v="3"/>
  </r>
  <r>
    <x v="21"/>
    <s v="人员通道（御道/简行/票务闸机）"/>
    <n v="7.7485999999999997"/>
    <x v="3"/>
  </r>
  <r>
    <x v="21"/>
    <s v="场景专用球机"/>
    <n v="5.1660000000000004"/>
    <x v="3"/>
  </r>
  <r>
    <x v="21"/>
    <s v="智慧物联综合管控平台"/>
    <n v="2.968"/>
    <x v="3"/>
  </r>
  <r>
    <x v="21"/>
    <s v="臻全彩IPC"/>
    <n v="2.7696000000000001"/>
    <x v="3"/>
  </r>
  <r>
    <x v="21"/>
    <s v="音频(8000n/4000n系列)"/>
    <n v="0.54449999999999998"/>
    <x v="3"/>
  </r>
  <r>
    <x v="22"/>
    <s v="人员通道（御道/简行/票务闸机）"/>
    <n v="9.3465000000000007"/>
    <x v="4"/>
  </r>
  <r>
    <x v="22"/>
    <s v="前端大模型摄像机"/>
    <n v="0.33"/>
    <x v="4"/>
  </r>
  <r>
    <x v="22"/>
    <s v="安防PC"/>
    <n v="0.98419999999999996"/>
    <x v="4"/>
  </r>
  <r>
    <x v="22"/>
    <s v="臻全彩IPC"/>
    <n v="1.44895"/>
    <x v="4"/>
  </r>
  <r>
    <x v="23"/>
    <s v="交换机（核心轻框/多光多电)"/>
    <n v="0.32640000000000002"/>
    <x v="4"/>
  </r>
  <r>
    <x v="23"/>
    <s v="人员通道（御道/简行/票务闸机）"/>
    <n v="8.7126000000000001"/>
    <x v="4"/>
  </r>
  <r>
    <x v="23"/>
    <s v="前端大模型摄像机"/>
    <n v="7.3007999999999997"/>
    <x v="4"/>
  </r>
  <r>
    <x v="23"/>
    <s v="文搜中心存储"/>
    <n v="9.69"/>
    <x v="4"/>
  </r>
  <r>
    <x v="23"/>
    <s v="臻全彩IPC"/>
    <n v="37.650440000000003"/>
    <x v="4"/>
  </r>
  <r>
    <x v="24"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1:J35" firstHeaderRow="1" firstDataRow="1" firstDataCol="1"/>
  <pivotFields count="7">
    <pivotField showAll="0" defaultSubtotal="0"/>
    <pivotField showAll="0" defaultSubtotal="0"/>
    <pivotField axis="axisRow" showAll="0" defaultSubtotal="0">
      <items count="25">
        <item x="7"/>
        <item x="21"/>
        <item x="18"/>
        <item x="19"/>
        <item x="8"/>
        <item x="4"/>
        <item x="6"/>
        <item x="20"/>
        <item x="3"/>
        <item x="0"/>
        <item x="14"/>
        <item x="11"/>
        <item x="12"/>
        <item x="17"/>
        <item x="5"/>
        <item x="2"/>
        <item x="10"/>
        <item x="9"/>
        <item x="24"/>
        <item x="1"/>
        <item x="23"/>
        <item x="15"/>
        <item x="22"/>
        <item x="13"/>
        <item x="16"/>
      </items>
    </pivotField>
    <pivotField showAll="0" defaultSubtotal="0"/>
    <pivotField dataField="1" showAll="0" defaultSubtotal="0"/>
    <pivotField axis="axisRow" showAll="0">
      <items count="7">
        <item x="1"/>
        <item x="3"/>
        <item x="0"/>
        <item x="4"/>
        <item x="5"/>
        <item x="2"/>
        <item t="default"/>
      </items>
    </pivotField>
    <pivotField axis="axisRow" showAll="0">
      <items count="3">
        <item x="0"/>
        <item x="1"/>
        <item t="default"/>
      </items>
    </pivotField>
  </pivotFields>
  <rowFields count="3">
    <field x="6"/>
    <field x="5"/>
    <field x="2"/>
  </rowFields>
  <rowItems count="34">
    <i>
      <x/>
    </i>
    <i r="1">
      <x/>
    </i>
    <i r="2">
      <x/>
    </i>
    <i r="2">
      <x v="2"/>
    </i>
    <i r="2">
      <x v="4"/>
    </i>
    <i r="2">
      <x v="10"/>
    </i>
    <i r="2">
      <x v="19"/>
    </i>
    <i r="1">
      <x v="1"/>
    </i>
    <i r="2">
      <x v="1"/>
    </i>
    <i r="2">
      <x v="13"/>
    </i>
    <i r="2">
      <x v="14"/>
    </i>
    <i r="2">
      <x v="23"/>
    </i>
    <i r="1">
      <x v="2"/>
    </i>
    <i r="2">
      <x v="3"/>
    </i>
    <i r="2">
      <x v="6"/>
    </i>
    <i r="2">
      <x v="7"/>
    </i>
    <i r="2">
      <x v="8"/>
    </i>
    <i r="2">
      <x v="9"/>
    </i>
    <i r="2">
      <x v="15"/>
    </i>
    <i r="2">
      <x v="24"/>
    </i>
    <i r="1">
      <x v="3"/>
    </i>
    <i r="2">
      <x v="11"/>
    </i>
    <i r="2">
      <x v="12"/>
    </i>
    <i r="2">
      <x v="16"/>
    </i>
    <i r="2">
      <x v="17"/>
    </i>
    <i r="2">
      <x v="21"/>
    </i>
    <i r="2">
      <x v="22"/>
    </i>
    <i r="1">
      <x v="5"/>
    </i>
    <i r="2">
      <x v="5"/>
    </i>
    <i r="2">
      <x v="20"/>
    </i>
    <i>
      <x v="1"/>
    </i>
    <i r="1">
      <x v="4"/>
    </i>
    <i r="2">
      <x v="18"/>
    </i>
    <i t="grand">
      <x/>
    </i>
  </rowItems>
  <colItems count="1">
    <i/>
  </colItems>
  <dataFields count="1">
    <dataField name="求和项:出库金额(元)" fld="4" baseField="6" baseItem="0"/>
  </dataFields>
  <formats count="5"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outline="0" axis="axisValues" fieldPosition="0"/>
    </format>
    <format dxfId="116">
      <pivotArea dataOnly="0" labelOnly="1" grandRow="1" outline="0" fieldPosition="0"/>
    </format>
    <format dxfId="1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F1:G33" firstHeaderRow="1" firstDataRow="1" firstDataCol="1"/>
  <pivotFields count="4">
    <pivotField axis="axisRow" showAll="0" sortType="descending">
      <items count="26">
        <item x="12"/>
        <item x="9"/>
        <item x="14"/>
        <item x="21"/>
        <item x="13"/>
        <item x="22"/>
        <item x="20"/>
        <item x="23"/>
        <item x="19"/>
        <item x="5"/>
        <item x="18"/>
        <item x="15"/>
        <item x="11"/>
        <item x="8"/>
        <item x="2"/>
        <item x="3"/>
        <item x="10"/>
        <item x="4"/>
        <item x="7"/>
        <item x="6"/>
        <item x="17"/>
        <item x="1"/>
        <item x="16"/>
        <item x="0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Row" showAll="0" sortType="descending">
      <items count="8">
        <item x="2"/>
        <item x="1"/>
        <item x="3"/>
        <item m="1" x="6"/>
        <item x="0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0"/>
  </rowFields>
  <rowItems count="32">
    <i>
      <x v="2"/>
    </i>
    <i r="1">
      <x v="8"/>
    </i>
    <i r="1">
      <x v="10"/>
    </i>
    <i r="1">
      <x v="3"/>
    </i>
    <i r="1">
      <x v="22"/>
    </i>
    <i r="1">
      <x v="11"/>
    </i>
    <i r="1">
      <x v="20"/>
    </i>
    <i r="1">
      <x v="6"/>
    </i>
    <i>
      <x v="4"/>
    </i>
    <i r="1">
      <x v="23"/>
    </i>
    <i r="1">
      <x v="15"/>
    </i>
    <i r="1">
      <x v="17"/>
    </i>
    <i r="1">
      <x v="14"/>
    </i>
    <i r="1">
      <x v="9"/>
    </i>
    <i r="1">
      <x v="21"/>
    </i>
    <i>
      <x v="6"/>
    </i>
    <i r="1">
      <x v="7"/>
    </i>
    <i r="1">
      <x v="5"/>
    </i>
    <i>
      <x/>
    </i>
    <i r="1">
      <x v="12"/>
    </i>
    <i r="1">
      <x v="2"/>
    </i>
    <i r="1">
      <x v="16"/>
    </i>
    <i r="1">
      <x/>
    </i>
    <i r="1">
      <x v="4"/>
    </i>
    <i>
      <x v="1"/>
    </i>
    <i r="1">
      <x v="1"/>
    </i>
    <i r="1">
      <x v="18"/>
    </i>
    <i r="1">
      <x v="13"/>
    </i>
    <i r="1">
      <x v="19"/>
    </i>
    <i>
      <x v="5"/>
    </i>
    <i r="1">
      <x v="24"/>
    </i>
    <i t="grand">
      <x/>
    </i>
  </rowItems>
  <colItems count="1">
    <i/>
  </colItems>
  <dataFields count="1">
    <dataField name="求和项:销售额(万)" fld="2" baseField="3" baseItem="0" numFmtId="177"/>
  </dataFields>
  <formats count="10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outline="0" axis="axisValues" fieldPosition="0"/>
    </format>
    <format dxfId="91">
      <pivotArea dataOnly="0" labelOnly="1" fieldPosition="0">
        <references count="1">
          <reference field="3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472"/>
  <sheetViews>
    <sheetView tabSelected="1" workbookViewId="0">
      <selection activeCell="D490" sqref="D490"/>
    </sheetView>
  </sheetViews>
  <sheetFormatPr defaultRowHeight="14" outlineLevelCol="1" x14ac:dyDescent="0.3"/>
  <cols>
    <col min="1" max="1" width="5.9140625" style="8" customWidth="1"/>
    <col min="2" max="3" width="6" style="8" customWidth="1"/>
    <col min="4" max="4" width="22.6640625" style="8" customWidth="1"/>
    <col min="5" max="5" width="14.9140625" style="8" bestFit="1" customWidth="1"/>
    <col min="6" max="6" width="9.33203125" style="8" customWidth="1"/>
    <col min="7" max="7" width="10.08203125" style="8" customWidth="1"/>
    <col min="8" max="34" width="3.9140625" style="9" customWidth="1" outlineLevel="1"/>
    <col min="35" max="36" width="7" style="10" customWidth="1"/>
  </cols>
  <sheetData>
    <row r="1" spans="1:36" ht="8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</row>
    <row r="2" spans="1:36" hidden="1" x14ac:dyDescent="0.3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5">
        <v>1</v>
      </c>
      <c r="I2" s="5">
        <v>0</v>
      </c>
      <c r="J2" s="5">
        <v>0</v>
      </c>
      <c r="K2" s="5">
        <v>1</v>
      </c>
      <c r="L2" s="5">
        <v>1</v>
      </c>
      <c r="M2" s="5">
        <v>0</v>
      </c>
      <c r="N2" s="5">
        <v>1</v>
      </c>
      <c r="O2" s="5">
        <v>1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0</v>
      </c>
      <c r="AA2" s="5">
        <v>0</v>
      </c>
      <c r="AB2" s="5">
        <v>1</v>
      </c>
      <c r="AC2" s="5">
        <v>0</v>
      </c>
      <c r="AD2" s="5">
        <v>1</v>
      </c>
      <c r="AE2" s="5">
        <v>1</v>
      </c>
      <c r="AF2" s="5">
        <v>1</v>
      </c>
      <c r="AG2" s="5">
        <v>0</v>
      </c>
      <c r="AH2" s="5">
        <v>1</v>
      </c>
      <c r="AI2" s="6" t="s">
        <v>43</v>
      </c>
      <c r="AJ2" s="7">
        <v>15</v>
      </c>
    </row>
    <row r="3" spans="1:36" x14ac:dyDescent="0.3">
      <c r="A3" s="4" t="s">
        <v>36</v>
      </c>
      <c r="B3" s="4" t="s">
        <v>37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1</v>
      </c>
      <c r="R3" s="5">
        <v>0</v>
      </c>
      <c r="S3" s="5">
        <v>0</v>
      </c>
      <c r="T3" s="5">
        <v>1</v>
      </c>
      <c r="U3" s="5">
        <v>1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1</v>
      </c>
      <c r="AC3" s="5">
        <v>0</v>
      </c>
      <c r="AD3" s="5">
        <v>1</v>
      </c>
      <c r="AE3" s="5">
        <v>0</v>
      </c>
      <c r="AF3" s="5">
        <v>1</v>
      </c>
      <c r="AG3" s="5">
        <v>0</v>
      </c>
      <c r="AH3" s="5">
        <v>1</v>
      </c>
      <c r="AI3" s="6" t="s">
        <v>43</v>
      </c>
      <c r="AJ3" s="7">
        <v>12</v>
      </c>
    </row>
    <row r="4" spans="1:36" hidden="1" x14ac:dyDescent="0.3">
      <c r="A4" s="4" t="s">
        <v>36</v>
      </c>
      <c r="B4" s="4" t="s">
        <v>37</v>
      </c>
      <c r="C4" s="4" t="s">
        <v>49</v>
      </c>
      <c r="D4" s="4" t="s">
        <v>50</v>
      </c>
      <c r="E4" s="4" t="s">
        <v>46</v>
      </c>
      <c r="F4" s="4" t="s">
        <v>51</v>
      </c>
      <c r="G4" s="4" t="s">
        <v>52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6" t="s">
        <v>53</v>
      </c>
      <c r="AJ4" s="7">
        <v>1</v>
      </c>
    </row>
    <row r="5" spans="1:36" x14ac:dyDescent="0.3">
      <c r="A5" s="4" t="s">
        <v>36</v>
      </c>
      <c r="B5" s="4" t="s">
        <v>37</v>
      </c>
      <c r="C5" s="4" t="s">
        <v>54</v>
      </c>
      <c r="D5" s="4" t="s">
        <v>55</v>
      </c>
      <c r="E5" s="4" t="s">
        <v>46</v>
      </c>
      <c r="F5" s="4" t="s">
        <v>56</v>
      </c>
      <c r="G5" s="4" t="s">
        <v>48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1</v>
      </c>
      <c r="AF5" s="5">
        <v>0</v>
      </c>
      <c r="AG5" s="5">
        <v>0</v>
      </c>
      <c r="AH5" s="5">
        <v>0</v>
      </c>
      <c r="AI5" s="6" t="s">
        <v>43</v>
      </c>
      <c r="AJ5" s="7">
        <v>4</v>
      </c>
    </row>
    <row r="6" spans="1:36" hidden="1" x14ac:dyDescent="0.3">
      <c r="A6" s="4" t="s">
        <v>36</v>
      </c>
      <c r="B6" s="4" t="s">
        <v>37</v>
      </c>
      <c r="C6" s="4" t="s">
        <v>57</v>
      </c>
      <c r="D6" s="4" t="s">
        <v>58</v>
      </c>
      <c r="E6" s="4" t="s">
        <v>46</v>
      </c>
      <c r="F6" s="4" t="s">
        <v>59</v>
      </c>
      <c r="G6" s="4" t="s">
        <v>60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6" t="s">
        <v>53</v>
      </c>
      <c r="AJ6" s="7">
        <v>3</v>
      </c>
    </row>
    <row r="7" spans="1:36" hidden="1" x14ac:dyDescent="0.3">
      <c r="A7" s="4" t="s">
        <v>36</v>
      </c>
      <c r="B7" s="4" t="s">
        <v>37</v>
      </c>
      <c r="C7" s="4" t="s">
        <v>61</v>
      </c>
      <c r="D7" s="4" t="s">
        <v>62</v>
      </c>
      <c r="E7" s="4" t="s">
        <v>40</v>
      </c>
      <c r="F7" s="4" t="s">
        <v>63</v>
      </c>
      <c r="G7" s="4" t="s">
        <v>64</v>
      </c>
      <c r="H7" s="5">
        <v>1</v>
      </c>
      <c r="I7" s="5">
        <v>1</v>
      </c>
      <c r="J7" s="5">
        <v>0</v>
      </c>
      <c r="K7" s="5">
        <v>0</v>
      </c>
      <c r="L7" s="5">
        <v>1</v>
      </c>
      <c r="M7" s="5">
        <v>1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43</v>
      </c>
      <c r="AJ7" s="7">
        <v>10</v>
      </c>
    </row>
    <row r="8" spans="1:36" x14ac:dyDescent="0.3">
      <c r="A8" s="4" t="s">
        <v>36</v>
      </c>
      <c r="B8" s="4" t="s">
        <v>37</v>
      </c>
      <c r="C8" s="4" t="s">
        <v>65</v>
      </c>
      <c r="D8" s="4" t="s">
        <v>66</v>
      </c>
      <c r="E8" s="4" t="s">
        <v>46</v>
      </c>
      <c r="F8" s="4" t="s">
        <v>67</v>
      </c>
      <c r="G8" s="4" t="s">
        <v>48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1</v>
      </c>
      <c r="AH8" s="5">
        <v>0</v>
      </c>
      <c r="AI8" s="6" t="s">
        <v>53</v>
      </c>
      <c r="AJ8" s="7">
        <v>6</v>
      </c>
    </row>
    <row r="9" spans="1:36" hidden="1" x14ac:dyDescent="0.3">
      <c r="A9" s="4" t="s">
        <v>36</v>
      </c>
      <c r="B9" s="4" t="s">
        <v>37</v>
      </c>
      <c r="C9" s="4" t="s">
        <v>68</v>
      </c>
      <c r="D9" s="4" t="s">
        <v>69</v>
      </c>
      <c r="E9" s="4" t="s">
        <v>46</v>
      </c>
      <c r="F9" s="4" t="s">
        <v>63</v>
      </c>
      <c r="G9" s="4" t="s">
        <v>64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43</v>
      </c>
      <c r="AJ9" s="7">
        <v>2</v>
      </c>
    </row>
    <row r="10" spans="1:36" hidden="1" x14ac:dyDescent="0.3">
      <c r="A10" s="4" t="s">
        <v>36</v>
      </c>
      <c r="B10" s="4" t="s">
        <v>37</v>
      </c>
      <c r="C10" s="4" t="s">
        <v>70</v>
      </c>
      <c r="D10" s="4" t="s">
        <v>71</v>
      </c>
      <c r="E10" s="4" t="s">
        <v>46</v>
      </c>
      <c r="F10" s="4" t="s">
        <v>72</v>
      </c>
      <c r="G10" s="4" t="s">
        <v>52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1</v>
      </c>
      <c r="AI10" s="6" t="s">
        <v>43</v>
      </c>
      <c r="AJ10" s="7">
        <v>2</v>
      </c>
    </row>
    <row r="11" spans="1:36" hidden="1" x14ac:dyDescent="0.3">
      <c r="A11" s="4" t="s">
        <v>36</v>
      </c>
      <c r="B11" s="4" t="s">
        <v>37</v>
      </c>
      <c r="C11" s="4" t="s">
        <v>73</v>
      </c>
      <c r="D11" s="4" t="s">
        <v>74</v>
      </c>
      <c r="E11" s="4" t="s">
        <v>46</v>
      </c>
      <c r="F11" s="4" t="s">
        <v>59</v>
      </c>
      <c r="G11" s="4" t="s">
        <v>60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53</v>
      </c>
      <c r="AJ11" s="7">
        <v>1</v>
      </c>
    </row>
    <row r="12" spans="1:36" hidden="1" x14ac:dyDescent="0.3">
      <c r="A12" s="4" t="s">
        <v>36</v>
      </c>
      <c r="B12" s="4" t="s">
        <v>37</v>
      </c>
      <c r="C12" s="4" t="s">
        <v>75</v>
      </c>
      <c r="D12" s="4" t="s">
        <v>76</v>
      </c>
      <c r="E12" s="4" t="s">
        <v>46</v>
      </c>
      <c r="F12" s="4" t="s">
        <v>77</v>
      </c>
      <c r="G12" s="4" t="s">
        <v>52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1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6" t="s">
        <v>43</v>
      </c>
      <c r="AJ12" s="7">
        <v>5</v>
      </c>
    </row>
    <row r="13" spans="1:36" hidden="1" x14ac:dyDescent="0.3">
      <c r="A13" s="4" t="s">
        <v>36</v>
      </c>
      <c r="B13" s="4" t="s">
        <v>37</v>
      </c>
      <c r="C13" s="4" t="s">
        <v>78</v>
      </c>
      <c r="D13" s="4" t="s">
        <v>79</v>
      </c>
      <c r="E13" s="4" t="s">
        <v>46</v>
      </c>
      <c r="F13" s="4" t="s">
        <v>80</v>
      </c>
      <c r="G13" s="4" t="s">
        <v>64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0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43</v>
      </c>
      <c r="AJ13" s="7">
        <v>3</v>
      </c>
    </row>
    <row r="14" spans="1:36" hidden="1" x14ac:dyDescent="0.3">
      <c r="A14" s="4" t="s">
        <v>36</v>
      </c>
      <c r="B14" s="4" t="s">
        <v>37</v>
      </c>
      <c r="C14" s="4" t="s">
        <v>81</v>
      </c>
      <c r="D14" s="4" t="s">
        <v>82</v>
      </c>
      <c r="E14" s="4" t="s">
        <v>46</v>
      </c>
      <c r="F14" s="4" t="s">
        <v>83</v>
      </c>
      <c r="G14" s="4" t="s">
        <v>52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6" t="s">
        <v>53</v>
      </c>
      <c r="AJ14" s="7">
        <v>5</v>
      </c>
    </row>
    <row r="15" spans="1:36" hidden="1" x14ac:dyDescent="0.3">
      <c r="A15" s="4" t="s">
        <v>36</v>
      </c>
      <c r="B15" s="4" t="s">
        <v>37</v>
      </c>
      <c r="C15" s="4" t="s">
        <v>84</v>
      </c>
      <c r="D15" s="4" t="s">
        <v>85</v>
      </c>
      <c r="E15" s="4" t="s">
        <v>46</v>
      </c>
      <c r="F15" s="4" t="s">
        <v>86</v>
      </c>
      <c r="G15" s="4" t="s">
        <v>42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0</v>
      </c>
      <c r="N15" s="5">
        <v>1</v>
      </c>
      <c r="O15" s="5">
        <v>1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1</v>
      </c>
      <c r="X15" s="5">
        <v>1</v>
      </c>
      <c r="Y15" s="5">
        <v>0</v>
      </c>
      <c r="Z15" s="5">
        <v>0</v>
      </c>
      <c r="AA15" s="5">
        <v>0</v>
      </c>
      <c r="AB15" s="5">
        <v>1</v>
      </c>
      <c r="AC15" s="5">
        <v>1</v>
      </c>
      <c r="AD15" s="5">
        <v>0</v>
      </c>
      <c r="AE15" s="5">
        <v>1</v>
      </c>
      <c r="AF15" s="5">
        <v>0</v>
      </c>
      <c r="AG15" s="5">
        <v>1</v>
      </c>
      <c r="AH15" s="5">
        <v>0</v>
      </c>
      <c r="AI15" s="6" t="s">
        <v>43</v>
      </c>
      <c r="AJ15" s="7">
        <v>16</v>
      </c>
    </row>
    <row r="16" spans="1:36" x14ac:dyDescent="0.3">
      <c r="A16" s="4" t="s">
        <v>36</v>
      </c>
      <c r="B16" s="4" t="s">
        <v>37</v>
      </c>
      <c r="C16" s="4" t="s">
        <v>87</v>
      </c>
      <c r="D16" s="4" t="s">
        <v>88</v>
      </c>
      <c r="E16" s="4" t="s">
        <v>46</v>
      </c>
      <c r="F16" s="4" t="s">
        <v>47</v>
      </c>
      <c r="G16" s="4" t="s">
        <v>48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1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6" t="s">
        <v>53</v>
      </c>
      <c r="AJ16" s="7">
        <v>2</v>
      </c>
    </row>
    <row r="17" spans="1:36" hidden="1" x14ac:dyDescent="0.3">
      <c r="A17" s="4" t="s">
        <v>36</v>
      </c>
      <c r="B17" s="4" t="s">
        <v>37</v>
      </c>
      <c r="C17" s="4" t="s">
        <v>89</v>
      </c>
      <c r="D17" s="4" t="s">
        <v>90</v>
      </c>
      <c r="E17" s="4" t="s">
        <v>46</v>
      </c>
      <c r="F17" s="4" t="s">
        <v>59</v>
      </c>
      <c r="G17" s="4" t="s">
        <v>60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53</v>
      </c>
      <c r="AJ17" s="7">
        <v>1</v>
      </c>
    </row>
    <row r="18" spans="1:36" hidden="1" x14ac:dyDescent="0.3">
      <c r="A18" s="4" t="s">
        <v>36</v>
      </c>
      <c r="B18" s="4" t="s">
        <v>37</v>
      </c>
      <c r="C18" s="4" t="s">
        <v>91</v>
      </c>
      <c r="D18" s="4" t="s">
        <v>92</v>
      </c>
      <c r="E18" s="4" t="s">
        <v>46</v>
      </c>
      <c r="F18" s="4" t="s">
        <v>93</v>
      </c>
      <c r="G18" s="4" t="s">
        <v>42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1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6" t="s">
        <v>53</v>
      </c>
      <c r="AJ18" s="7">
        <v>2</v>
      </c>
    </row>
    <row r="19" spans="1:36" hidden="1" x14ac:dyDescent="0.3">
      <c r="A19" s="4" t="s">
        <v>36</v>
      </c>
      <c r="B19" s="4" t="s">
        <v>37</v>
      </c>
      <c r="C19" s="4" t="s">
        <v>94</v>
      </c>
      <c r="D19" s="4" t="s">
        <v>95</v>
      </c>
      <c r="E19" s="4" t="s">
        <v>46</v>
      </c>
      <c r="F19" s="4" t="s">
        <v>96</v>
      </c>
      <c r="G19" s="4" t="s">
        <v>64</v>
      </c>
      <c r="H19" s="5">
        <v>1</v>
      </c>
      <c r="I19" s="5">
        <v>0</v>
      </c>
      <c r="J19" s="5">
        <v>1</v>
      </c>
      <c r="K19" s="5">
        <v>0</v>
      </c>
      <c r="L19" s="5">
        <v>1</v>
      </c>
      <c r="M19" s="5">
        <v>0</v>
      </c>
      <c r="N19" s="5">
        <v>1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6" t="s">
        <v>43</v>
      </c>
      <c r="AJ19" s="7">
        <v>6</v>
      </c>
    </row>
    <row r="20" spans="1:36" hidden="1" x14ac:dyDescent="0.3">
      <c r="A20" s="4" t="s">
        <v>36</v>
      </c>
      <c r="B20" s="4" t="s">
        <v>37</v>
      </c>
      <c r="C20" s="4" t="s">
        <v>97</v>
      </c>
      <c r="D20" s="4" t="s">
        <v>98</v>
      </c>
      <c r="E20" s="4" t="s">
        <v>46</v>
      </c>
      <c r="F20" s="4" t="s">
        <v>80</v>
      </c>
      <c r="G20" s="4" t="s">
        <v>64</v>
      </c>
      <c r="H20" s="5">
        <v>1</v>
      </c>
      <c r="I20" s="5">
        <v>1</v>
      </c>
      <c r="J20" s="5">
        <v>0</v>
      </c>
      <c r="K20" s="5">
        <v>1</v>
      </c>
      <c r="L20" s="5">
        <v>1</v>
      </c>
      <c r="M20" s="5">
        <v>0</v>
      </c>
      <c r="N20" s="5">
        <v>1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  <c r="AA20" s="5">
        <v>0</v>
      </c>
      <c r="AB20" s="5">
        <v>1</v>
      </c>
      <c r="AC20" s="5">
        <v>0</v>
      </c>
      <c r="AD20" s="5">
        <v>0</v>
      </c>
      <c r="AE20" s="5">
        <v>1</v>
      </c>
      <c r="AF20" s="5">
        <v>0</v>
      </c>
      <c r="AG20" s="5">
        <v>0</v>
      </c>
      <c r="AH20" s="5">
        <v>0</v>
      </c>
      <c r="AI20" s="6" t="s">
        <v>43</v>
      </c>
      <c r="AJ20" s="7">
        <v>10</v>
      </c>
    </row>
    <row r="21" spans="1:36" hidden="1" x14ac:dyDescent="0.3">
      <c r="A21" s="4" t="s">
        <v>36</v>
      </c>
      <c r="B21" s="4" t="s">
        <v>37</v>
      </c>
      <c r="C21" s="4" t="s">
        <v>99</v>
      </c>
      <c r="D21" s="4" t="s">
        <v>100</v>
      </c>
      <c r="E21" s="4" t="s">
        <v>46</v>
      </c>
      <c r="F21" s="4" t="s">
        <v>72</v>
      </c>
      <c r="G21" s="4" t="s">
        <v>52</v>
      </c>
      <c r="H21" s="5">
        <v>1</v>
      </c>
      <c r="I21" s="5">
        <v>0</v>
      </c>
      <c r="J21" s="5">
        <v>0</v>
      </c>
      <c r="K21" s="5">
        <v>1</v>
      </c>
      <c r="L21" s="5">
        <v>1</v>
      </c>
      <c r="M21" s="5">
        <v>0</v>
      </c>
      <c r="N21" s="5">
        <v>0</v>
      </c>
      <c r="O21" s="5">
        <v>1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</v>
      </c>
      <c r="AF21" s="5">
        <v>0</v>
      </c>
      <c r="AG21" s="5">
        <v>0</v>
      </c>
      <c r="AH21" s="5">
        <v>1</v>
      </c>
      <c r="AI21" s="6" t="s">
        <v>43</v>
      </c>
      <c r="AJ21" s="7">
        <v>7</v>
      </c>
    </row>
    <row r="22" spans="1:36" hidden="1" x14ac:dyDescent="0.3">
      <c r="A22" s="4" t="s">
        <v>36</v>
      </c>
      <c r="B22" s="4" t="s">
        <v>37</v>
      </c>
      <c r="C22" s="4" t="s">
        <v>102</v>
      </c>
      <c r="D22" s="4" t="s">
        <v>103</v>
      </c>
      <c r="E22" s="4" t="s">
        <v>46</v>
      </c>
      <c r="F22" s="4" t="s">
        <v>51</v>
      </c>
      <c r="G22" s="4" t="s">
        <v>52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6" t="s">
        <v>53</v>
      </c>
      <c r="AJ22" s="7">
        <v>0</v>
      </c>
    </row>
    <row r="23" spans="1:36" hidden="1" x14ac:dyDescent="0.3">
      <c r="A23" s="4" t="s">
        <v>36</v>
      </c>
      <c r="B23" s="4" t="s">
        <v>37</v>
      </c>
      <c r="C23" s="4" t="s">
        <v>105</v>
      </c>
      <c r="D23" s="4" t="s">
        <v>106</v>
      </c>
      <c r="E23" s="4" t="s">
        <v>46</v>
      </c>
      <c r="F23" s="4" t="s">
        <v>59</v>
      </c>
      <c r="G23" s="4" t="s">
        <v>60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53</v>
      </c>
      <c r="AJ23" s="7">
        <v>1</v>
      </c>
    </row>
    <row r="24" spans="1:36" hidden="1" x14ac:dyDescent="0.3">
      <c r="A24" s="4" t="s">
        <v>36</v>
      </c>
      <c r="B24" s="4" t="s">
        <v>37</v>
      </c>
      <c r="C24" s="4" t="s">
        <v>109</v>
      </c>
      <c r="D24" s="4" t="s">
        <v>110</v>
      </c>
      <c r="E24" s="4" t="s">
        <v>46</v>
      </c>
      <c r="F24" s="4" t="s">
        <v>72</v>
      </c>
      <c r="G24" s="4" t="s">
        <v>52</v>
      </c>
      <c r="H24" s="5">
        <v>1</v>
      </c>
      <c r="I24" s="5">
        <v>0</v>
      </c>
      <c r="J24" s="5">
        <v>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6" t="s">
        <v>53</v>
      </c>
      <c r="AJ24" s="7">
        <v>3</v>
      </c>
    </row>
    <row r="25" spans="1:36" hidden="1" x14ac:dyDescent="0.3">
      <c r="A25" s="4" t="s">
        <v>36</v>
      </c>
      <c r="B25" s="4" t="s">
        <v>37</v>
      </c>
      <c r="C25" s="4" t="s">
        <v>111</v>
      </c>
      <c r="D25" s="4" t="s">
        <v>112</v>
      </c>
      <c r="E25" s="4" t="s">
        <v>46</v>
      </c>
      <c r="F25" s="4" t="s">
        <v>72</v>
      </c>
      <c r="G25" s="4" t="s">
        <v>52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1</v>
      </c>
      <c r="AF25" s="5">
        <v>0</v>
      </c>
      <c r="AG25" s="5">
        <v>0</v>
      </c>
      <c r="AH25" s="5">
        <v>0</v>
      </c>
      <c r="AI25" s="6" t="s">
        <v>43</v>
      </c>
      <c r="AJ25" s="7">
        <v>2</v>
      </c>
    </row>
    <row r="26" spans="1:36" hidden="1" x14ac:dyDescent="0.3">
      <c r="A26" s="4" t="s">
        <v>36</v>
      </c>
      <c r="B26" s="4" t="s">
        <v>37</v>
      </c>
      <c r="C26" s="4" t="s">
        <v>113</v>
      </c>
      <c r="D26" s="4" t="s">
        <v>114</v>
      </c>
      <c r="E26" s="4" t="s">
        <v>46</v>
      </c>
      <c r="F26" s="4" t="s">
        <v>93</v>
      </c>
      <c r="G26" s="4" t="s">
        <v>42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6" t="s">
        <v>53</v>
      </c>
      <c r="AJ26" s="7">
        <v>2</v>
      </c>
    </row>
    <row r="27" spans="1:36" hidden="1" x14ac:dyDescent="0.3">
      <c r="A27" s="4" t="s">
        <v>36</v>
      </c>
      <c r="B27" s="4" t="s">
        <v>37</v>
      </c>
      <c r="C27" s="4" t="s">
        <v>115</v>
      </c>
      <c r="D27" s="4" t="s">
        <v>116</v>
      </c>
      <c r="E27" s="4" t="s">
        <v>46</v>
      </c>
      <c r="F27" s="4" t="s">
        <v>59</v>
      </c>
      <c r="G27" s="4" t="s">
        <v>60</v>
      </c>
      <c r="H27" s="5">
        <v>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1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</v>
      </c>
      <c r="AI27" s="6" t="s">
        <v>43</v>
      </c>
      <c r="AJ27" s="7">
        <v>8</v>
      </c>
    </row>
    <row r="28" spans="1:36" hidden="1" x14ac:dyDescent="0.3">
      <c r="A28" s="4" t="s">
        <v>36</v>
      </c>
      <c r="B28" s="4" t="s">
        <v>37</v>
      </c>
      <c r="C28" s="4" t="s">
        <v>117</v>
      </c>
      <c r="D28" s="4" t="s">
        <v>118</v>
      </c>
      <c r="E28" s="4" t="s">
        <v>46</v>
      </c>
      <c r="F28" s="4" t="s">
        <v>80</v>
      </c>
      <c r="G28" s="4" t="s">
        <v>64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6" t="s">
        <v>53</v>
      </c>
      <c r="AJ28" s="7">
        <v>2</v>
      </c>
    </row>
    <row r="29" spans="1:36" hidden="1" x14ac:dyDescent="0.3">
      <c r="A29" s="4" t="s">
        <v>36</v>
      </c>
      <c r="B29" s="4" t="s">
        <v>37</v>
      </c>
      <c r="C29" s="4" t="s">
        <v>119</v>
      </c>
      <c r="D29" s="4" t="s">
        <v>120</v>
      </c>
      <c r="E29" s="4" t="s">
        <v>46</v>
      </c>
      <c r="F29" s="4" t="s">
        <v>51</v>
      </c>
      <c r="G29" s="4" t="s">
        <v>52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0</v>
      </c>
      <c r="N29" s="5">
        <v>1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43</v>
      </c>
      <c r="AJ29" s="7">
        <v>6</v>
      </c>
    </row>
    <row r="30" spans="1:36" hidden="1" x14ac:dyDescent="0.3">
      <c r="A30" s="4" t="s">
        <v>36</v>
      </c>
      <c r="B30" s="4" t="s">
        <v>37</v>
      </c>
      <c r="C30" s="4" t="s">
        <v>121</v>
      </c>
      <c r="D30" s="4" t="s">
        <v>122</v>
      </c>
      <c r="E30" s="4" t="s">
        <v>46</v>
      </c>
      <c r="F30" s="4" t="s">
        <v>63</v>
      </c>
      <c r="G30" s="4" t="s">
        <v>64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1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6" t="s">
        <v>53</v>
      </c>
      <c r="AJ30" s="7">
        <v>3</v>
      </c>
    </row>
    <row r="31" spans="1:36" hidden="1" x14ac:dyDescent="0.3">
      <c r="A31" s="4" t="s">
        <v>36</v>
      </c>
      <c r="B31" s="4" t="s">
        <v>37</v>
      </c>
      <c r="C31" s="4" t="s">
        <v>123</v>
      </c>
      <c r="D31" s="4" t="s">
        <v>124</v>
      </c>
      <c r="E31" s="4" t="s">
        <v>46</v>
      </c>
      <c r="F31" s="4" t="s">
        <v>125</v>
      </c>
      <c r="G31" s="4" t="s">
        <v>60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53</v>
      </c>
      <c r="AJ31" s="7">
        <v>2</v>
      </c>
    </row>
    <row r="32" spans="1:36" hidden="1" x14ac:dyDescent="0.3">
      <c r="A32" s="4" t="s">
        <v>36</v>
      </c>
      <c r="B32" s="4" t="s">
        <v>37</v>
      </c>
      <c r="C32" s="4" t="s">
        <v>126</v>
      </c>
      <c r="D32" s="4" t="s">
        <v>127</v>
      </c>
      <c r="E32" s="4" t="s">
        <v>46</v>
      </c>
      <c r="F32" s="4" t="s">
        <v>80</v>
      </c>
      <c r="G32" s="4" t="s">
        <v>64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1</v>
      </c>
      <c r="AF32" s="5">
        <v>0</v>
      </c>
      <c r="AG32" s="5">
        <v>0</v>
      </c>
      <c r="AH32" s="5">
        <v>0</v>
      </c>
      <c r="AI32" s="6" t="s">
        <v>43</v>
      </c>
      <c r="AJ32" s="7">
        <v>6</v>
      </c>
    </row>
    <row r="33" spans="1:36" hidden="1" x14ac:dyDescent="0.3">
      <c r="A33" s="4" t="s">
        <v>36</v>
      </c>
      <c r="B33" s="4" t="s">
        <v>37</v>
      </c>
      <c r="C33" s="4" t="s">
        <v>128</v>
      </c>
      <c r="D33" s="4" t="s">
        <v>129</v>
      </c>
      <c r="E33" s="4" t="s">
        <v>46</v>
      </c>
      <c r="F33" s="4" t="s">
        <v>51</v>
      </c>
      <c r="G33" s="4" t="s">
        <v>52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1</v>
      </c>
      <c r="AI33" s="6" t="s">
        <v>43</v>
      </c>
      <c r="AJ33" s="7">
        <v>5</v>
      </c>
    </row>
    <row r="34" spans="1:36" hidden="1" x14ac:dyDescent="0.3">
      <c r="A34" s="4" t="s">
        <v>36</v>
      </c>
      <c r="B34" s="4" t="s">
        <v>37</v>
      </c>
      <c r="C34" s="4" t="s">
        <v>130</v>
      </c>
      <c r="D34" s="4" t="s">
        <v>131</v>
      </c>
      <c r="E34" s="4" t="s">
        <v>46</v>
      </c>
      <c r="F34" s="4" t="s">
        <v>51</v>
      </c>
      <c r="G34" s="4" t="s">
        <v>52</v>
      </c>
      <c r="H34" s="5">
        <v>1</v>
      </c>
      <c r="I34" s="5">
        <v>1</v>
      </c>
      <c r="J34" s="5">
        <v>0</v>
      </c>
      <c r="K34" s="5">
        <v>1</v>
      </c>
      <c r="L34" s="5">
        <v>0</v>
      </c>
      <c r="M34" s="5">
        <v>0</v>
      </c>
      <c r="N34" s="5">
        <v>0</v>
      </c>
      <c r="O34" s="5">
        <v>1</v>
      </c>
      <c r="P34" s="5">
        <v>0</v>
      </c>
      <c r="Q34" s="5">
        <v>1</v>
      </c>
      <c r="R34" s="5">
        <v>0</v>
      </c>
      <c r="S34" s="5">
        <v>0</v>
      </c>
      <c r="T34" s="5">
        <v>1</v>
      </c>
      <c r="U34" s="5">
        <v>1</v>
      </c>
      <c r="V34" s="5">
        <v>0</v>
      </c>
      <c r="W34" s="5">
        <v>0</v>
      </c>
      <c r="X34" s="5">
        <v>1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1</v>
      </c>
      <c r="AI34" s="6" t="s">
        <v>43</v>
      </c>
      <c r="AJ34" s="7">
        <v>10</v>
      </c>
    </row>
    <row r="35" spans="1:36" hidden="1" x14ac:dyDescent="0.3">
      <c r="A35" s="4" t="s">
        <v>36</v>
      </c>
      <c r="B35" s="4" t="s">
        <v>37</v>
      </c>
      <c r="C35" s="4" t="s">
        <v>132</v>
      </c>
      <c r="D35" s="4" t="s">
        <v>133</v>
      </c>
      <c r="E35" s="4" t="s">
        <v>46</v>
      </c>
      <c r="F35" s="4" t="s">
        <v>59</v>
      </c>
      <c r="G35" s="4" t="s">
        <v>60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1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43</v>
      </c>
      <c r="AJ35" s="7">
        <v>4</v>
      </c>
    </row>
    <row r="36" spans="1:36" hidden="1" x14ac:dyDescent="0.3">
      <c r="A36" s="4" t="s">
        <v>36</v>
      </c>
      <c r="B36" s="4" t="s">
        <v>37</v>
      </c>
      <c r="C36" s="4" t="s">
        <v>134</v>
      </c>
      <c r="D36" s="4" t="s">
        <v>135</v>
      </c>
      <c r="E36" s="4" t="s">
        <v>46</v>
      </c>
      <c r="F36" s="4" t="s">
        <v>125</v>
      </c>
      <c r="G36" s="4" t="s">
        <v>60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6" t="s">
        <v>53</v>
      </c>
      <c r="AJ36" s="7">
        <v>2</v>
      </c>
    </row>
    <row r="37" spans="1:36" hidden="1" x14ac:dyDescent="0.3">
      <c r="A37" s="4" t="s">
        <v>36</v>
      </c>
      <c r="B37" s="4" t="s">
        <v>37</v>
      </c>
      <c r="C37" s="4" t="s">
        <v>136</v>
      </c>
      <c r="D37" s="4" t="s">
        <v>137</v>
      </c>
      <c r="E37" s="4" t="s">
        <v>46</v>
      </c>
      <c r="F37" s="4" t="s">
        <v>80</v>
      </c>
      <c r="G37" s="4" t="s">
        <v>64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1</v>
      </c>
      <c r="AF37" s="5">
        <v>0</v>
      </c>
      <c r="AG37" s="5">
        <v>0</v>
      </c>
      <c r="AH37" s="5">
        <v>0</v>
      </c>
      <c r="AI37" s="6" t="s">
        <v>43</v>
      </c>
      <c r="AJ37" s="7">
        <v>3</v>
      </c>
    </row>
    <row r="38" spans="1:36" hidden="1" x14ac:dyDescent="0.3">
      <c r="A38" s="4" t="s">
        <v>36</v>
      </c>
      <c r="B38" s="4" t="s">
        <v>37</v>
      </c>
      <c r="C38" s="4" t="s">
        <v>138</v>
      </c>
      <c r="D38" s="4" t="s">
        <v>139</v>
      </c>
      <c r="E38" s="4" t="s">
        <v>46</v>
      </c>
      <c r="F38" s="4" t="s">
        <v>140</v>
      </c>
      <c r="G38" s="4" t="s">
        <v>42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6" t="s">
        <v>53</v>
      </c>
      <c r="AJ38" s="7">
        <v>2</v>
      </c>
    </row>
    <row r="39" spans="1:36" hidden="1" x14ac:dyDescent="0.3">
      <c r="A39" s="4" t="s">
        <v>36</v>
      </c>
      <c r="B39" s="4" t="s">
        <v>37</v>
      </c>
      <c r="C39" s="4" t="s">
        <v>141</v>
      </c>
      <c r="D39" s="4" t="s">
        <v>142</v>
      </c>
      <c r="E39" s="4" t="s">
        <v>46</v>
      </c>
      <c r="F39" s="4" t="s">
        <v>59</v>
      </c>
      <c r="G39" s="4" t="s">
        <v>60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</v>
      </c>
      <c r="O39" s="5">
        <v>0</v>
      </c>
      <c r="P39" s="5">
        <v>0</v>
      </c>
      <c r="Q39" s="5">
        <v>1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53</v>
      </c>
      <c r="AJ39" s="7">
        <v>4</v>
      </c>
    </row>
    <row r="40" spans="1:36" hidden="1" x14ac:dyDescent="0.3">
      <c r="A40" s="4" t="s">
        <v>36</v>
      </c>
      <c r="B40" s="4" t="s">
        <v>37</v>
      </c>
      <c r="C40" s="4" t="s">
        <v>143</v>
      </c>
      <c r="D40" s="4" t="s">
        <v>144</v>
      </c>
      <c r="E40" s="4" t="s">
        <v>46</v>
      </c>
      <c r="F40" s="4" t="s">
        <v>96</v>
      </c>
      <c r="G40" s="4" t="s">
        <v>64</v>
      </c>
      <c r="H40" s="5">
        <v>1</v>
      </c>
      <c r="I40" s="5">
        <v>1</v>
      </c>
      <c r="J40" s="5">
        <v>0</v>
      </c>
      <c r="K40" s="5">
        <v>1</v>
      </c>
      <c r="L40" s="5">
        <v>1</v>
      </c>
      <c r="M40" s="5">
        <v>0</v>
      </c>
      <c r="N40" s="5">
        <v>1</v>
      </c>
      <c r="O40" s="5">
        <v>1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1</v>
      </c>
      <c r="V40" s="5">
        <v>1</v>
      </c>
      <c r="W40" s="5">
        <v>0</v>
      </c>
      <c r="X40" s="5">
        <v>1</v>
      </c>
      <c r="Y40" s="5">
        <v>0</v>
      </c>
      <c r="Z40" s="5">
        <v>0</v>
      </c>
      <c r="AA40" s="5">
        <v>0</v>
      </c>
      <c r="AB40" s="5">
        <v>1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1</v>
      </c>
      <c r="AI40" s="6" t="s">
        <v>43</v>
      </c>
      <c r="AJ40" s="7">
        <v>12</v>
      </c>
    </row>
    <row r="41" spans="1:36" hidden="1" x14ac:dyDescent="0.3">
      <c r="A41" s="4" t="s">
        <v>36</v>
      </c>
      <c r="B41" s="4" t="s">
        <v>37</v>
      </c>
      <c r="C41" s="4" t="s">
        <v>145</v>
      </c>
      <c r="D41" s="4" t="s">
        <v>146</v>
      </c>
      <c r="E41" s="4" t="s">
        <v>46</v>
      </c>
      <c r="F41" s="4" t="s">
        <v>63</v>
      </c>
      <c r="G41" s="4" t="s">
        <v>64</v>
      </c>
      <c r="H41" s="5">
        <v>1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1</v>
      </c>
      <c r="O41" s="5">
        <v>1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1</v>
      </c>
      <c r="AC41" s="5">
        <v>0</v>
      </c>
      <c r="AD41" s="5">
        <v>1</v>
      </c>
      <c r="AE41" s="5">
        <v>0</v>
      </c>
      <c r="AF41" s="5">
        <v>0</v>
      </c>
      <c r="AG41" s="5">
        <v>0</v>
      </c>
      <c r="AH41" s="5">
        <v>0</v>
      </c>
      <c r="AI41" s="6" t="s">
        <v>43</v>
      </c>
      <c r="AJ41" s="7">
        <v>7</v>
      </c>
    </row>
    <row r="42" spans="1:36" hidden="1" x14ac:dyDescent="0.3">
      <c r="A42" s="4" t="s">
        <v>36</v>
      </c>
      <c r="B42" s="4" t="s">
        <v>37</v>
      </c>
      <c r="C42" s="4" t="s">
        <v>147</v>
      </c>
      <c r="D42" s="4" t="s">
        <v>148</v>
      </c>
      <c r="E42" s="4" t="s">
        <v>46</v>
      </c>
      <c r="F42" s="4" t="s">
        <v>63</v>
      </c>
      <c r="G42" s="4" t="s">
        <v>64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6" t="s">
        <v>53</v>
      </c>
      <c r="AJ42" s="7">
        <v>1</v>
      </c>
    </row>
    <row r="43" spans="1:36" hidden="1" x14ac:dyDescent="0.3">
      <c r="A43" s="4" t="s">
        <v>36</v>
      </c>
      <c r="B43" s="4" t="s">
        <v>37</v>
      </c>
      <c r="C43" s="4" t="s">
        <v>149</v>
      </c>
      <c r="D43" s="4" t="s">
        <v>150</v>
      </c>
      <c r="E43" s="4" t="s">
        <v>46</v>
      </c>
      <c r="F43" s="4" t="s">
        <v>80</v>
      </c>
      <c r="G43" s="4" t="s">
        <v>64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1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53</v>
      </c>
      <c r="AJ43" s="7">
        <v>3</v>
      </c>
    </row>
    <row r="44" spans="1:36" hidden="1" x14ac:dyDescent="0.3">
      <c r="A44" s="4" t="s">
        <v>36</v>
      </c>
      <c r="B44" s="4" t="s">
        <v>37</v>
      </c>
      <c r="C44" s="4" t="s">
        <v>151</v>
      </c>
      <c r="D44" s="4" t="s">
        <v>152</v>
      </c>
      <c r="E44" s="4" t="s">
        <v>46</v>
      </c>
      <c r="F44" s="4" t="s">
        <v>59</v>
      </c>
      <c r="G44" s="4" t="s">
        <v>60</v>
      </c>
      <c r="H44" s="5">
        <v>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6" t="s">
        <v>53</v>
      </c>
      <c r="AJ44" s="7">
        <v>2</v>
      </c>
    </row>
    <row r="45" spans="1:36" hidden="1" x14ac:dyDescent="0.3">
      <c r="A45" s="4" t="s">
        <v>36</v>
      </c>
      <c r="B45" s="4" t="s">
        <v>37</v>
      </c>
      <c r="C45" s="4" t="s">
        <v>153</v>
      </c>
      <c r="D45" s="4" t="s">
        <v>154</v>
      </c>
      <c r="E45" s="4" t="s">
        <v>46</v>
      </c>
      <c r="F45" s="4" t="s">
        <v>140</v>
      </c>
      <c r="G45" s="4" t="s">
        <v>42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53</v>
      </c>
      <c r="AJ45" s="7">
        <v>1</v>
      </c>
    </row>
    <row r="46" spans="1:36" hidden="1" x14ac:dyDescent="0.3">
      <c r="A46" s="4" t="s">
        <v>36</v>
      </c>
      <c r="B46" s="4" t="s">
        <v>37</v>
      </c>
      <c r="C46" s="4" t="s">
        <v>155</v>
      </c>
      <c r="D46" s="4" t="s">
        <v>156</v>
      </c>
      <c r="E46" s="4" t="s">
        <v>46</v>
      </c>
      <c r="F46" s="4" t="s">
        <v>86</v>
      </c>
      <c r="G46" s="4" t="s">
        <v>42</v>
      </c>
      <c r="H46" s="5">
        <v>1</v>
      </c>
      <c r="I46" s="5">
        <v>0</v>
      </c>
      <c r="J46" s="5">
        <v>0</v>
      </c>
      <c r="K46" s="5">
        <v>0</v>
      </c>
      <c r="L46" s="5">
        <v>1</v>
      </c>
      <c r="M46" s="5">
        <v>0</v>
      </c>
      <c r="N46" s="5">
        <v>1</v>
      </c>
      <c r="O46" s="5">
        <v>1</v>
      </c>
      <c r="P46" s="5">
        <v>0</v>
      </c>
      <c r="Q46" s="5">
        <v>1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6" t="s">
        <v>43</v>
      </c>
      <c r="AJ46" s="7">
        <v>6</v>
      </c>
    </row>
    <row r="47" spans="1:36" hidden="1" x14ac:dyDescent="0.3">
      <c r="A47" s="4" t="s">
        <v>36</v>
      </c>
      <c r="B47" s="4" t="s">
        <v>37</v>
      </c>
      <c r="C47" s="4" t="s">
        <v>157</v>
      </c>
      <c r="D47" s="4" t="s">
        <v>158</v>
      </c>
      <c r="E47" s="4" t="s">
        <v>46</v>
      </c>
      <c r="F47" s="4" t="s">
        <v>72</v>
      </c>
      <c r="G47" s="4" t="s">
        <v>52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43</v>
      </c>
      <c r="AJ47" s="7">
        <v>1</v>
      </c>
    </row>
    <row r="48" spans="1:36" hidden="1" x14ac:dyDescent="0.3">
      <c r="A48" s="4" t="s">
        <v>36</v>
      </c>
      <c r="B48" s="4" t="s">
        <v>37</v>
      </c>
      <c r="C48" s="4" t="s">
        <v>159</v>
      </c>
      <c r="D48" s="4" t="s">
        <v>160</v>
      </c>
      <c r="E48" s="4" t="s">
        <v>46</v>
      </c>
      <c r="F48" s="4" t="s">
        <v>63</v>
      </c>
      <c r="G48" s="4" t="s">
        <v>64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0</v>
      </c>
      <c r="N48" s="5">
        <v>1</v>
      </c>
      <c r="O48" s="5">
        <v>1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1</v>
      </c>
      <c r="AC48" s="5">
        <v>1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6" t="s">
        <v>43</v>
      </c>
      <c r="AJ48" s="7">
        <v>11</v>
      </c>
    </row>
    <row r="49" spans="1:36" hidden="1" x14ac:dyDescent="0.3">
      <c r="A49" s="4" t="s">
        <v>36</v>
      </c>
      <c r="B49" s="4" t="s">
        <v>37</v>
      </c>
      <c r="C49" s="4" t="s">
        <v>161</v>
      </c>
      <c r="D49" s="4" t="s">
        <v>162</v>
      </c>
      <c r="E49" s="4" t="s">
        <v>46</v>
      </c>
      <c r="F49" s="4" t="s">
        <v>59</v>
      </c>
      <c r="G49" s="4" t="s">
        <v>60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53</v>
      </c>
      <c r="AJ49" s="7">
        <v>1</v>
      </c>
    </row>
    <row r="50" spans="1:36" hidden="1" x14ac:dyDescent="0.3">
      <c r="A50" s="4" t="s">
        <v>36</v>
      </c>
      <c r="B50" s="4" t="s">
        <v>37</v>
      </c>
      <c r="C50" s="4" t="s">
        <v>163</v>
      </c>
      <c r="D50" s="4" t="s">
        <v>164</v>
      </c>
      <c r="E50" s="4" t="s">
        <v>46</v>
      </c>
      <c r="F50" s="4" t="s">
        <v>165</v>
      </c>
      <c r="G50" s="4" t="s">
        <v>64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6" t="s">
        <v>43</v>
      </c>
      <c r="AJ50" s="7">
        <v>1</v>
      </c>
    </row>
    <row r="51" spans="1:36" hidden="1" x14ac:dyDescent="0.3">
      <c r="A51" s="4" t="s">
        <v>36</v>
      </c>
      <c r="B51" s="4" t="s">
        <v>37</v>
      </c>
      <c r="C51" s="4" t="s">
        <v>166</v>
      </c>
      <c r="D51" s="4" t="s">
        <v>167</v>
      </c>
      <c r="E51" s="4" t="s">
        <v>46</v>
      </c>
      <c r="F51" s="4" t="s">
        <v>168</v>
      </c>
      <c r="G51" s="4" t="s">
        <v>52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53</v>
      </c>
      <c r="AJ51" s="7">
        <v>1</v>
      </c>
    </row>
    <row r="52" spans="1:36" hidden="1" x14ac:dyDescent="0.3">
      <c r="A52" s="4" t="s">
        <v>36</v>
      </c>
      <c r="B52" s="4" t="s">
        <v>37</v>
      </c>
      <c r="C52" s="4" t="s">
        <v>169</v>
      </c>
      <c r="D52" s="4" t="s">
        <v>170</v>
      </c>
      <c r="E52" s="4" t="s">
        <v>46</v>
      </c>
      <c r="F52" s="4" t="s">
        <v>83</v>
      </c>
      <c r="G52" s="4" t="s">
        <v>52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6" t="s">
        <v>53</v>
      </c>
      <c r="AJ52" s="7">
        <v>1</v>
      </c>
    </row>
    <row r="53" spans="1:36" hidden="1" x14ac:dyDescent="0.3">
      <c r="A53" s="4" t="s">
        <v>36</v>
      </c>
      <c r="B53" s="4" t="s">
        <v>37</v>
      </c>
      <c r="C53" s="4" t="s">
        <v>171</v>
      </c>
      <c r="D53" s="4" t="s">
        <v>172</v>
      </c>
      <c r="E53" s="4" t="s">
        <v>46</v>
      </c>
      <c r="F53" s="4" t="s">
        <v>80</v>
      </c>
      <c r="G53" s="4" t="s">
        <v>64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53</v>
      </c>
      <c r="AJ53" s="7">
        <v>1</v>
      </c>
    </row>
    <row r="54" spans="1:36" hidden="1" x14ac:dyDescent="0.3">
      <c r="A54" s="4" t="s">
        <v>36</v>
      </c>
      <c r="B54" s="4" t="s">
        <v>37</v>
      </c>
      <c r="C54" s="4" t="s">
        <v>173</v>
      </c>
      <c r="D54" s="4" t="s">
        <v>174</v>
      </c>
      <c r="E54" s="4" t="s">
        <v>46</v>
      </c>
      <c r="F54" s="4" t="s">
        <v>140</v>
      </c>
      <c r="G54" s="4" t="s">
        <v>42</v>
      </c>
      <c r="H54" s="5">
        <v>1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6" t="s">
        <v>53</v>
      </c>
      <c r="AJ54" s="7">
        <v>2</v>
      </c>
    </row>
    <row r="55" spans="1:36" hidden="1" x14ac:dyDescent="0.3">
      <c r="A55" s="4" t="s">
        <v>36</v>
      </c>
      <c r="B55" s="4" t="s">
        <v>37</v>
      </c>
      <c r="C55" s="4" t="s">
        <v>176</v>
      </c>
      <c r="D55" s="4" t="s">
        <v>177</v>
      </c>
      <c r="E55" s="4" t="s">
        <v>46</v>
      </c>
      <c r="F55" s="4" t="s">
        <v>59</v>
      </c>
      <c r="G55" s="4" t="s">
        <v>60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53</v>
      </c>
      <c r="AJ55" s="7">
        <v>3</v>
      </c>
    </row>
    <row r="56" spans="1:36" hidden="1" x14ac:dyDescent="0.3">
      <c r="A56" s="4" t="s">
        <v>36</v>
      </c>
      <c r="B56" s="4" t="s">
        <v>37</v>
      </c>
      <c r="C56" s="4" t="s">
        <v>179</v>
      </c>
      <c r="D56" s="4" t="s">
        <v>180</v>
      </c>
      <c r="E56" s="4" t="s">
        <v>46</v>
      </c>
      <c r="F56" s="4" t="s">
        <v>63</v>
      </c>
      <c r="G56" s="4" t="s">
        <v>64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1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6" t="s">
        <v>53</v>
      </c>
      <c r="AJ56" s="7">
        <v>3</v>
      </c>
    </row>
    <row r="57" spans="1:36" hidden="1" x14ac:dyDescent="0.3">
      <c r="A57" s="4" t="s">
        <v>36</v>
      </c>
      <c r="B57" s="4" t="s">
        <v>37</v>
      </c>
      <c r="C57" s="4" t="s">
        <v>181</v>
      </c>
      <c r="D57" s="4" t="s">
        <v>182</v>
      </c>
      <c r="E57" s="4" t="s">
        <v>46</v>
      </c>
      <c r="F57" s="4" t="s">
        <v>96</v>
      </c>
      <c r="G57" s="4" t="s">
        <v>64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53</v>
      </c>
      <c r="AJ57" s="7">
        <v>2</v>
      </c>
    </row>
    <row r="58" spans="1:36" hidden="1" x14ac:dyDescent="0.3">
      <c r="A58" s="4" t="s">
        <v>36</v>
      </c>
      <c r="B58" s="4" t="s">
        <v>37</v>
      </c>
      <c r="C58" s="4" t="s">
        <v>183</v>
      </c>
      <c r="D58" s="4" t="s">
        <v>184</v>
      </c>
      <c r="E58" s="4" t="s">
        <v>46</v>
      </c>
      <c r="F58" s="4" t="s">
        <v>63</v>
      </c>
      <c r="G58" s="4" t="s">
        <v>64</v>
      </c>
      <c r="H58" s="5">
        <v>1</v>
      </c>
      <c r="I58" s="5">
        <v>1</v>
      </c>
      <c r="J58" s="5">
        <v>0</v>
      </c>
      <c r="K58" s="5">
        <v>1</v>
      </c>
      <c r="L58" s="5">
        <v>0</v>
      </c>
      <c r="M58" s="5">
        <v>0</v>
      </c>
      <c r="N58" s="5">
        <v>1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1</v>
      </c>
      <c r="AC58" s="5">
        <v>0</v>
      </c>
      <c r="AD58" s="5">
        <v>1</v>
      </c>
      <c r="AE58" s="5">
        <v>1</v>
      </c>
      <c r="AF58" s="5">
        <v>0</v>
      </c>
      <c r="AG58" s="5">
        <v>0</v>
      </c>
      <c r="AH58" s="5">
        <v>0</v>
      </c>
      <c r="AI58" s="6" t="s">
        <v>43</v>
      </c>
      <c r="AJ58" s="7">
        <v>8</v>
      </c>
    </row>
    <row r="59" spans="1:36" hidden="1" x14ac:dyDescent="0.3">
      <c r="A59" s="4" t="s">
        <v>36</v>
      </c>
      <c r="B59" s="4" t="s">
        <v>37</v>
      </c>
      <c r="C59" s="4" t="s">
        <v>185</v>
      </c>
      <c r="D59" s="4" t="s">
        <v>186</v>
      </c>
      <c r="E59" s="4" t="s">
        <v>46</v>
      </c>
      <c r="F59" s="4" t="s">
        <v>72</v>
      </c>
      <c r="G59" s="4" t="s">
        <v>52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0</v>
      </c>
      <c r="U59" s="5">
        <v>1</v>
      </c>
      <c r="V59" s="5">
        <v>1</v>
      </c>
      <c r="W59" s="5">
        <v>1</v>
      </c>
      <c r="X59" s="5">
        <v>1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43</v>
      </c>
      <c r="AJ59" s="7">
        <v>7</v>
      </c>
    </row>
    <row r="60" spans="1:36" hidden="1" x14ac:dyDescent="0.3">
      <c r="A60" s="4" t="s">
        <v>36</v>
      </c>
      <c r="B60" s="4" t="s">
        <v>37</v>
      </c>
      <c r="C60" s="4" t="s">
        <v>187</v>
      </c>
      <c r="D60" s="4" t="s">
        <v>188</v>
      </c>
      <c r="E60" s="4" t="s">
        <v>46</v>
      </c>
      <c r="F60" s="4" t="s">
        <v>51</v>
      </c>
      <c r="G60" s="4" t="s">
        <v>52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0</v>
      </c>
      <c r="N60" s="5">
        <v>0</v>
      </c>
      <c r="O60" s="5">
        <v>1</v>
      </c>
      <c r="P60" s="5">
        <v>0</v>
      </c>
      <c r="Q60" s="5">
        <v>1</v>
      </c>
      <c r="R60" s="5">
        <v>0</v>
      </c>
      <c r="S60" s="5">
        <v>0</v>
      </c>
      <c r="T60" s="5">
        <v>0</v>
      </c>
      <c r="U60" s="5">
        <v>1</v>
      </c>
      <c r="V60" s="5">
        <v>1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</v>
      </c>
      <c r="AD60" s="5">
        <v>0</v>
      </c>
      <c r="AE60" s="5">
        <v>0</v>
      </c>
      <c r="AF60" s="5">
        <v>0</v>
      </c>
      <c r="AG60" s="5">
        <v>0</v>
      </c>
      <c r="AH60" s="5">
        <v>1</v>
      </c>
      <c r="AI60" s="6" t="s">
        <v>43</v>
      </c>
      <c r="AJ60" s="7">
        <v>11</v>
      </c>
    </row>
    <row r="61" spans="1:36" hidden="1" x14ac:dyDescent="0.3">
      <c r="A61" s="4" t="s">
        <v>36</v>
      </c>
      <c r="B61" s="4" t="s">
        <v>37</v>
      </c>
      <c r="C61" s="4" t="s">
        <v>189</v>
      </c>
      <c r="D61" s="4" t="s">
        <v>190</v>
      </c>
      <c r="E61" s="4" t="s">
        <v>46</v>
      </c>
      <c r="F61" s="4" t="s">
        <v>96</v>
      </c>
      <c r="G61" s="4" t="s">
        <v>64</v>
      </c>
      <c r="H61" s="5">
        <v>1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1</v>
      </c>
      <c r="AF61" s="5">
        <v>0</v>
      </c>
      <c r="AG61" s="5">
        <v>0</v>
      </c>
      <c r="AH61" s="5">
        <v>0</v>
      </c>
      <c r="AI61" s="6" t="s">
        <v>53</v>
      </c>
      <c r="AJ61" s="7">
        <v>5</v>
      </c>
    </row>
    <row r="62" spans="1:36" hidden="1" x14ac:dyDescent="0.3">
      <c r="A62" s="4" t="s">
        <v>36</v>
      </c>
      <c r="B62" s="4" t="s">
        <v>37</v>
      </c>
      <c r="C62" s="4" t="s">
        <v>191</v>
      </c>
      <c r="D62" s="4" t="s">
        <v>192</v>
      </c>
      <c r="E62" s="4" t="s">
        <v>46</v>
      </c>
      <c r="F62" s="4" t="s">
        <v>59</v>
      </c>
      <c r="G62" s="4" t="s">
        <v>60</v>
      </c>
      <c r="H62" s="5">
        <v>0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6" t="s">
        <v>53</v>
      </c>
      <c r="AJ62" s="7">
        <v>1</v>
      </c>
    </row>
    <row r="63" spans="1:36" hidden="1" x14ac:dyDescent="0.3">
      <c r="A63" s="4" t="s">
        <v>36</v>
      </c>
      <c r="B63" s="4" t="s">
        <v>37</v>
      </c>
      <c r="C63" s="4" t="s">
        <v>194</v>
      </c>
      <c r="D63" s="4" t="s">
        <v>195</v>
      </c>
      <c r="E63" s="4" t="s">
        <v>46</v>
      </c>
      <c r="F63" s="4" t="s">
        <v>41</v>
      </c>
      <c r="G63" s="4" t="s">
        <v>42</v>
      </c>
      <c r="H63" s="5">
        <v>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43</v>
      </c>
      <c r="AJ63" s="7">
        <v>4</v>
      </c>
    </row>
    <row r="64" spans="1:36" hidden="1" x14ac:dyDescent="0.3">
      <c r="A64" s="4" t="s">
        <v>36</v>
      </c>
      <c r="B64" s="4" t="s">
        <v>37</v>
      </c>
      <c r="C64" s="4" t="s">
        <v>196</v>
      </c>
      <c r="D64" s="4" t="s">
        <v>197</v>
      </c>
      <c r="E64" s="4" t="s">
        <v>46</v>
      </c>
      <c r="F64" s="4" t="s">
        <v>51</v>
      </c>
      <c r="G64" s="4" t="s">
        <v>52</v>
      </c>
      <c r="H64" s="5">
        <v>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6" t="s">
        <v>53</v>
      </c>
      <c r="AJ64" s="7">
        <v>4</v>
      </c>
    </row>
    <row r="65" spans="1:36" hidden="1" x14ac:dyDescent="0.3">
      <c r="A65" s="4" t="s">
        <v>36</v>
      </c>
      <c r="B65" s="4" t="s">
        <v>37</v>
      </c>
      <c r="C65" s="4" t="s">
        <v>198</v>
      </c>
      <c r="D65" s="4" t="s">
        <v>199</v>
      </c>
      <c r="E65" s="4" t="s">
        <v>46</v>
      </c>
      <c r="F65" s="4" t="s">
        <v>63</v>
      </c>
      <c r="G65" s="4" t="s">
        <v>64</v>
      </c>
      <c r="H65" s="5">
        <v>1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1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43</v>
      </c>
      <c r="AJ65" s="7">
        <v>5</v>
      </c>
    </row>
    <row r="66" spans="1:36" hidden="1" x14ac:dyDescent="0.3">
      <c r="A66" s="4" t="s">
        <v>36</v>
      </c>
      <c r="B66" s="4" t="s">
        <v>37</v>
      </c>
      <c r="C66" s="4" t="s">
        <v>200</v>
      </c>
      <c r="D66" s="4" t="s">
        <v>201</v>
      </c>
      <c r="E66" s="4" t="s">
        <v>46</v>
      </c>
      <c r="F66" s="4" t="s">
        <v>83</v>
      </c>
      <c r="G66" s="4" t="s">
        <v>52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1</v>
      </c>
      <c r="AF66" s="5">
        <v>0</v>
      </c>
      <c r="AG66" s="5">
        <v>0</v>
      </c>
      <c r="AH66" s="5">
        <v>0</v>
      </c>
      <c r="AI66" s="6" t="s">
        <v>53</v>
      </c>
      <c r="AJ66" s="7">
        <v>2</v>
      </c>
    </row>
    <row r="67" spans="1:36" hidden="1" x14ac:dyDescent="0.3">
      <c r="A67" s="4" t="s">
        <v>36</v>
      </c>
      <c r="B67" s="4" t="s">
        <v>37</v>
      </c>
      <c r="C67" s="4" t="s">
        <v>202</v>
      </c>
      <c r="D67" s="4" t="s">
        <v>203</v>
      </c>
      <c r="E67" s="4" t="s">
        <v>46</v>
      </c>
      <c r="F67" s="4" t="s">
        <v>86</v>
      </c>
      <c r="G67" s="4" t="s">
        <v>42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0</v>
      </c>
      <c r="N67" s="5">
        <v>1</v>
      </c>
      <c r="O67" s="5">
        <v>1</v>
      </c>
      <c r="P67" s="5">
        <v>0</v>
      </c>
      <c r="Q67" s="5">
        <v>1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1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1</v>
      </c>
      <c r="AF67" s="5">
        <v>0</v>
      </c>
      <c r="AG67" s="5">
        <v>1</v>
      </c>
      <c r="AH67" s="5">
        <v>0</v>
      </c>
      <c r="AI67" s="6" t="s">
        <v>43</v>
      </c>
      <c r="AJ67" s="7">
        <v>12</v>
      </c>
    </row>
    <row r="68" spans="1:36" hidden="1" x14ac:dyDescent="0.3">
      <c r="A68" s="4" t="s">
        <v>36</v>
      </c>
      <c r="B68" s="4" t="s">
        <v>37</v>
      </c>
      <c r="C68" s="4" t="s">
        <v>204</v>
      </c>
      <c r="D68" s="4" t="s">
        <v>205</v>
      </c>
      <c r="E68" s="4" t="s">
        <v>46</v>
      </c>
      <c r="F68" s="4" t="s">
        <v>96</v>
      </c>
      <c r="G68" s="4" t="s">
        <v>64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6" t="s">
        <v>43</v>
      </c>
      <c r="AJ68" s="7">
        <v>2</v>
      </c>
    </row>
    <row r="69" spans="1:36" hidden="1" x14ac:dyDescent="0.3">
      <c r="A69" s="4" t="s">
        <v>36</v>
      </c>
      <c r="B69" s="4" t="s">
        <v>37</v>
      </c>
      <c r="C69" s="4" t="s">
        <v>206</v>
      </c>
      <c r="D69" s="4" t="s">
        <v>207</v>
      </c>
      <c r="E69" s="4" t="s">
        <v>46</v>
      </c>
      <c r="F69" s="4" t="s">
        <v>59</v>
      </c>
      <c r="G69" s="4" t="s">
        <v>60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53</v>
      </c>
      <c r="AJ69" s="7">
        <v>1</v>
      </c>
    </row>
    <row r="70" spans="1:36" hidden="1" x14ac:dyDescent="0.3">
      <c r="A70" s="4" t="s">
        <v>36</v>
      </c>
      <c r="B70" s="4" t="s">
        <v>37</v>
      </c>
      <c r="C70" s="4" t="s">
        <v>208</v>
      </c>
      <c r="D70" s="4" t="s">
        <v>209</v>
      </c>
      <c r="E70" s="4" t="s">
        <v>46</v>
      </c>
      <c r="F70" s="4" t="s">
        <v>165</v>
      </c>
      <c r="G70" s="4" t="s">
        <v>64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6" t="s">
        <v>53</v>
      </c>
      <c r="AJ70" s="7">
        <v>1</v>
      </c>
    </row>
    <row r="71" spans="1:36" hidden="1" x14ac:dyDescent="0.3">
      <c r="A71" s="4" t="s">
        <v>36</v>
      </c>
      <c r="B71" s="4" t="s">
        <v>37</v>
      </c>
      <c r="C71" s="4" t="s">
        <v>210</v>
      </c>
      <c r="D71" s="4" t="s">
        <v>211</v>
      </c>
      <c r="E71" s="4" t="s">
        <v>46</v>
      </c>
      <c r="F71" s="4" t="s">
        <v>59</v>
      </c>
      <c r="G71" s="4" t="s">
        <v>60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53</v>
      </c>
      <c r="AJ71" s="7">
        <v>1</v>
      </c>
    </row>
    <row r="72" spans="1:36" hidden="1" x14ac:dyDescent="0.3">
      <c r="A72" s="4" t="s">
        <v>36</v>
      </c>
      <c r="B72" s="4" t="s">
        <v>37</v>
      </c>
      <c r="C72" s="4" t="s">
        <v>212</v>
      </c>
      <c r="D72" s="4" t="s">
        <v>213</v>
      </c>
      <c r="E72" s="4" t="s">
        <v>214</v>
      </c>
      <c r="F72" s="4" t="s">
        <v>215</v>
      </c>
      <c r="G72" s="4" t="s">
        <v>42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6" t="s">
        <v>53</v>
      </c>
      <c r="AJ72" s="7">
        <v>0</v>
      </c>
    </row>
    <row r="73" spans="1:36" hidden="1" x14ac:dyDescent="0.3">
      <c r="A73" s="4" t="s">
        <v>36</v>
      </c>
      <c r="B73" s="4" t="s">
        <v>37</v>
      </c>
      <c r="C73" s="4" t="s">
        <v>216</v>
      </c>
      <c r="D73" s="4" t="s">
        <v>217</v>
      </c>
      <c r="E73" s="4" t="s">
        <v>40</v>
      </c>
      <c r="F73" s="4" t="s">
        <v>215</v>
      </c>
      <c r="G73" s="4" t="s">
        <v>42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53</v>
      </c>
      <c r="AJ73" s="7">
        <v>0</v>
      </c>
    </row>
    <row r="74" spans="1:36" hidden="1" x14ac:dyDescent="0.3">
      <c r="A74" s="4" t="s">
        <v>36</v>
      </c>
      <c r="B74" s="4" t="s">
        <v>37</v>
      </c>
      <c r="C74" s="4" t="s">
        <v>218</v>
      </c>
      <c r="D74" s="4" t="s">
        <v>219</v>
      </c>
      <c r="E74" s="4" t="s">
        <v>46</v>
      </c>
      <c r="F74" s="4" t="s">
        <v>72</v>
      </c>
      <c r="G74" s="4" t="s">
        <v>52</v>
      </c>
      <c r="H74" s="5">
        <v>1</v>
      </c>
      <c r="I74" s="5">
        <v>1</v>
      </c>
      <c r="J74" s="5">
        <v>0</v>
      </c>
      <c r="K74" s="5">
        <v>1</v>
      </c>
      <c r="L74" s="5">
        <v>1</v>
      </c>
      <c r="M74" s="5">
        <v>0</v>
      </c>
      <c r="N74" s="5">
        <v>1</v>
      </c>
      <c r="O74" s="5">
        <v>1</v>
      </c>
      <c r="P74" s="5">
        <v>0</v>
      </c>
      <c r="Q74" s="5">
        <v>1</v>
      </c>
      <c r="R74" s="5">
        <v>0</v>
      </c>
      <c r="S74" s="5">
        <v>0</v>
      </c>
      <c r="T74" s="5">
        <v>0</v>
      </c>
      <c r="U74" s="5">
        <v>1</v>
      </c>
      <c r="V74" s="5">
        <v>1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6" t="s">
        <v>43</v>
      </c>
      <c r="AJ74" s="7">
        <v>9</v>
      </c>
    </row>
    <row r="75" spans="1:36" hidden="1" x14ac:dyDescent="0.3">
      <c r="A75" s="4" t="s">
        <v>36</v>
      </c>
      <c r="B75" s="4" t="s">
        <v>37</v>
      </c>
      <c r="C75" s="4" t="s">
        <v>220</v>
      </c>
      <c r="D75" s="4" t="s">
        <v>221</v>
      </c>
      <c r="E75" s="4" t="s">
        <v>46</v>
      </c>
      <c r="F75" s="4" t="s">
        <v>59</v>
      </c>
      <c r="G75" s="4" t="s">
        <v>60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0</v>
      </c>
      <c r="Q75" s="5">
        <v>1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6" t="s">
        <v>53</v>
      </c>
      <c r="AJ75" s="7">
        <v>5</v>
      </c>
    </row>
    <row r="76" spans="1:36" hidden="1" x14ac:dyDescent="0.3">
      <c r="A76" s="4" t="s">
        <v>36</v>
      </c>
      <c r="B76" s="4" t="s">
        <v>37</v>
      </c>
      <c r="C76" s="4" t="s">
        <v>222</v>
      </c>
      <c r="D76" s="4" t="s">
        <v>223</v>
      </c>
      <c r="E76" s="4" t="s">
        <v>46</v>
      </c>
      <c r="F76" s="4" t="s">
        <v>59</v>
      </c>
      <c r="G76" s="4" t="s">
        <v>60</v>
      </c>
      <c r="H76" s="5">
        <v>0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0</v>
      </c>
      <c r="AG76" s="5">
        <v>0</v>
      </c>
      <c r="AH76" s="5">
        <v>0</v>
      </c>
      <c r="AI76" s="6" t="s">
        <v>53</v>
      </c>
      <c r="AJ76" s="7">
        <v>2</v>
      </c>
    </row>
    <row r="77" spans="1:36" hidden="1" x14ac:dyDescent="0.3">
      <c r="A77" s="4" t="s">
        <v>36</v>
      </c>
      <c r="B77" s="4" t="s">
        <v>37</v>
      </c>
      <c r="C77" s="4" t="s">
        <v>224</v>
      </c>
      <c r="D77" s="4" t="s">
        <v>225</v>
      </c>
      <c r="E77" s="4" t="s">
        <v>46</v>
      </c>
      <c r="F77" s="4" t="s">
        <v>59</v>
      </c>
      <c r="G77" s="4" t="s">
        <v>60</v>
      </c>
      <c r="H77" s="5">
        <v>1</v>
      </c>
      <c r="I77" s="5">
        <v>0</v>
      </c>
      <c r="J77" s="5">
        <v>1</v>
      </c>
      <c r="K77" s="5">
        <v>1</v>
      </c>
      <c r="L77" s="5">
        <v>0</v>
      </c>
      <c r="M77" s="5">
        <v>0</v>
      </c>
      <c r="N77" s="5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6" t="s">
        <v>43</v>
      </c>
      <c r="AJ77" s="7">
        <v>5</v>
      </c>
    </row>
    <row r="78" spans="1:36" hidden="1" x14ac:dyDescent="0.3">
      <c r="A78" s="4" t="s">
        <v>36</v>
      </c>
      <c r="B78" s="4" t="s">
        <v>37</v>
      </c>
      <c r="C78" s="4" t="s">
        <v>226</v>
      </c>
      <c r="D78" s="4" t="s">
        <v>227</v>
      </c>
      <c r="E78" s="4" t="s">
        <v>46</v>
      </c>
      <c r="F78" s="4" t="s">
        <v>96</v>
      </c>
      <c r="G78" s="4" t="s">
        <v>64</v>
      </c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1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1</v>
      </c>
      <c r="AF78" s="5">
        <v>0</v>
      </c>
      <c r="AG78" s="5">
        <v>0</v>
      </c>
      <c r="AH78" s="5">
        <v>0</v>
      </c>
      <c r="AI78" s="6" t="s">
        <v>43</v>
      </c>
      <c r="AJ78" s="7">
        <v>3</v>
      </c>
    </row>
    <row r="79" spans="1:36" hidden="1" x14ac:dyDescent="0.3">
      <c r="A79" s="4" t="s">
        <v>36</v>
      </c>
      <c r="B79" s="4" t="s">
        <v>37</v>
      </c>
      <c r="C79" s="4" t="s">
        <v>228</v>
      </c>
      <c r="D79" s="4" t="s">
        <v>229</v>
      </c>
      <c r="E79" s="4" t="s">
        <v>46</v>
      </c>
      <c r="F79" s="4" t="s">
        <v>165</v>
      </c>
      <c r="G79" s="4" t="s">
        <v>64</v>
      </c>
      <c r="H79" s="5">
        <v>1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6" t="s">
        <v>53</v>
      </c>
      <c r="AJ79" s="7">
        <v>2</v>
      </c>
    </row>
    <row r="80" spans="1:36" hidden="1" x14ac:dyDescent="0.3">
      <c r="A80" s="4" t="s">
        <v>36</v>
      </c>
      <c r="B80" s="4" t="s">
        <v>37</v>
      </c>
      <c r="C80" s="4" t="s">
        <v>230</v>
      </c>
      <c r="D80" s="4" t="s">
        <v>231</v>
      </c>
      <c r="E80" s="4" t="s">
        <v>214</v>
      </c>
      <c r="F80" s="4" t="s">
        <v>215</v>
      </c>
      <c r="G80" s="4" t="s">
        <v>42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6" t="s">
        <v>53</v>
      </c>
      <c r="AJ80" s="7">
        <v>1</v>
      </c>
    </row>
    <row r="81" spans="1:36" hidden="1" x14ac:dyDescent="0.3">
      <c r="A81" s="4" t="s">
        <v>36</v>
      </c>
      <c r="B81" s="4" t="s">
        <v>37</v>
      </c>
      <c r="C81" s="4" t="s">
        <v>232</v>
      </c>
      <c r="D81" s="4" t="s">
        <v>233</v>
      </c>
      <c r="E81" s="4" t="s">
        <v>214</v>
      </c>
      <c r="F81" s="4" t="s">
        <v>215</v>
      </c>
      <c r="G81" s="4" t="s">
        <v>42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6" t="s">
        <v>53</v>
      </c>
      <c r="AJ81" s="7">
        <v>0</v>
      </c>
    </row>
    <row r="82" spans="1:36" hidden="1" x14ac:dyDescent="0.3">
      <c r="A82" s="4" t="s">
        <v>36</v>
      </c>
      <c r="B82" s="4" t="s">
        <v>37</v>
      </c>
      <c r="C82" s="4" t="s">
        <v>234</v>
      </c>
      <c r="D82" s="4" t="s">
        <v>235</v>
      </c>
      <c r="E82" s="4" t="s">
        <v>40</v>
      </c>
      <c r="F82" s="4" t="s">
        <v>215</v>
      </c>
      <c r="G82" s="4" t="s">
        <v>42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6" t="s">
        <v>53</v>
      </c>
      <c r="AJ82" s="7">
        <v>0</v>
      </c>
    </row>
    <row r="83" spans="1:36" hidden="1" x14ac:dyDescent="0.3">
      <c r="A83" s="4" t="s">
        <v>36</v>
      </c>
      <c r="B83" s="4" t="s">
        <v>37</v>
      </c>
      <c r="C83" s="4" t="s">
        <v>236</v>
      </c>
      <c r="D83" s="4" t="s">
        <v>237</v>
      </c>
      <c r="E83" s="4" t="s">
        <v>214</v>
      </c>
      <c r="F83" s="4" t="s">
        <v>215</v>
      </c>
      <c r="G83" s="4" t="s">
        <v>42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  <c r="Y83" s="5">
        <v>1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6" t="s">
        <v>53</v>
      </c>
      <c r="AJ83" s="7">
        <v>3</v>
      </c>
    </row>
    <row r="84" spans="1:36" hidden="1" x14ac:dyDescent="0.3">
      <c r="A84" s="4" t="s">
        <v>36</v>
      </c>
      <c r="B84" s="4" t="s">
        <v>37</v>
      </c>
      <c r="C84" s="4" t="s">
        <v>238</v>
      </c>
      <c r="D84" s="4" t="s">
        <v>239</v>
      </c>
      <c r="E84" s="4" t="s">
        <v>214</v>
      </c>
      <c r="F84" s="4" t="s">
        <v>215</v>
      </c>
      <c r="G84" s="4" t="s">
        <v>42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6" t="s">
        <v>53</v>
      </c>
      <c r="AJ84" s="7">
        <v>1</v>
      </c>
    </row>
    <row r="85" spans="1:36" hidden="1" x14ac:dyDescent="0.3">
      <c r="A85" s="4" t="s">
        <v>36</v>
      </c>
      <c r="B85" s="4" t="s">
        <v>37</v>
      </c>
      <c r="C85" s="4" t="s">
        <v>240</v>
      </c>
      <c r="D85" s="4" t="s">
        <v>241</v>
      </c>
      <c r="E85" s="4" t="s">
        <v>214</v>
      </c>
      <c r="F85" s="4" t="s">
        <v>215</v>
      </c>
      <c r="G85" s="4" t="s">
        <v>42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6" t="s">
        <v>53</v>
      </c>
      <c r="AJ85" s="7">
        <v>0</v>
      </c>
    </row>
    <row r="86" spans="1:36" hidden="1" x14ac:dyDescent="0.3">
      <c r="A86" s="4" t="s">
        <v>36</v>
      </c>
      <c r="B86" s="4" t="s">
        <v>37</v>
      </c>
      <c r="C86" s="4" t="s">
        <v>242</v>
      </c>
      <c r="D86" s="4" t="s">
        <v>243</v>
      </c>
      <c r="E86" s="4" t="s">
        <v>46</v>
      </c>
      <c r="F86" s="4" t="s">
        <v>168</v>
      </c>
      <c r="G86" s="4" t="s">
        <v>52</v>
      </c>
      <c r="H86" s="5">
        <v>1</v>
      </c>
      <c r="I86" s="5">
        <v>1</v>
      </c>
      <c r="J86" s="5">
        <v>0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6" t="s">
        <v>53</v>
      </c>
      <c r="AJ86" s="7">
        <v>3</v>
      </c>
    </row>
    <row r="87" spans="1:36" hidden="1" x14ac:dyDescent="0.3">
      <c r="A87" s="4" t="s">
        <v>36</v>
      </c>
      <c r="B87" s="4" t="s">
        <v>37</v>
      </c>
      <c r="C87" s="4" t="s">
        <v>244</v>
      </c>
      <c r="D87" s="4" t="s">
        <v>245</v>
      </c>
      <c r="E87" s="4" t="s">
        <v>46</v>
      </c>
      <c r="F87" s="4" t="s">
        <v>77</v>
      </c>
      <c r="G87" s="4" t="s">
        <v>52</v>
      </c>
      <c r="H87" s="5">
        <v>1</v>
      </c>
      <c r="I87" s="5">
        <v>1</v>
      </c>
      <c r="J87" s="5">
        <v>1</v>
      </c>
      <c r="K87" s="5">
        <v>0</v>
      </c>
      <c r="L87" s="5">
        <v>0</v>
      </c>
      <c r="M87" s="5">
        <v>0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6" t="s">
        <v>53</v>
      </c>
      <c r="AJ87" s="7">
        <v>5</v>
      </c>
    </row>
    <row r="88" spans="1:36" hidden="1" x14ac:dyDescent="0.3">
      <c r="A88" s="4" t="s">
        <v>36</v>
      </c>
      <c r="B88" s="4" t="s">
        <v>37</v>
      </c>
      <c r="C88" s="4" t="s">
        <v>246</v>
      </c>
      <c r="D88" s="4" t="s">
        <v>247</v>
      </c>
      <c r="E88" s="4" t="s">
        <v>214</v>
      </c>
      <c r="F88" s="4" t="s">
        <v>215</v>
      </c>
      <c r="G88" s="4" t="s">
        <v>42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1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1</v>
      </c>
      <c r="AF88" s="5">
        <v>0</v>
      </c>
      <c r="AG88" s="5">
        <v>0</v>
      </c>
      <c r="AH88" s="5">
        <v>0</v>
      </c>
      <c r="AI88" s="6" t="s">
        <v>43</v>
      </c>
      <c r="AJ88" s="7">
        <v>3</v>
      </c>
    </row>
    <row r="89" spans="1:36" hidden="1" x14ac:dyDescent="0.3">
      <c r="A89" s="4" t="s">
        <v>36</v>
      </c>
      <c r="B89" s="4" t="s">
        <v>37</v>
      </c>
      <c r="C89" s="4" t="s">
        <v>248</v>
      </c>
      <c r="D89" s="4" t="s">
        <v>249</v>
      </c>
      <c r="E89" s="4" t="s">
        <v>214</v>
      </c>
      <c r="F89" s="4" t="s">
        <v>215</v>
      </c>
      <c r="G89" s="4" t="s">
        <v>42</v>
      </c>
      <c r="H89" s="5">
        <v>1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6" t="s">
        <v>53</v>
      </c>
      <c r="AJ89" s="7">
        <v>2</v>
      </c>
    </row>
    <row r="90" spans="1:36" hidden="1" x14ac:dyDescent="0.3">
      <c r="A90" s="4" t="s">
        <v>36</v>
      </c>
      <c r="B90" s="4" t="s">
        <v>37</v>
      </c>
      <c r="C90" s="4" t="s">
        <v>250</v>
      </c>
      <c r="D90" s="4" t="s">
        <v>251</v>
      </c>
      <c r="E90" s="4" t="s">
        <v>214</v>
      </c>
      <c r="F90" s="4" t="s">
        <v>215</v>
      </c>
      <c r="G90" s="4" t="s">
        <v>42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1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6" t="s">
        <v>53</v>
      </c>
      <c r="AJ90" s="7">
        <v>1</v>
      </c>
    </row>
    <row r="91" spans="1:36" hidden="1" x14ac:dyDescent="0.3">
      <c r="A91" s="4" t="s">
        <v>36</v>
      </c>
      <c r="B91" s="4" t="s">
        <v>37</v>
      </c>
      <c r="C91" s="4" t="s">
        <v>252</v>
      </c>
      <c r="D91" s="4" t="s">
        <v>253</v>
      </c>
      <c r="E91" s="4" t="s">
        <v>214</v>
      </c>
      <c r="F91" s="4" t="s">
        <v>215</v>
      </c>
      <c r="G91" s="4" t="s">
        <v>42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6" t="s">
        <v>53</v>
      </c>
      <c r="AJ91" s="7">
        <v>1</v>
      </c>
    </row>
    <row r="92" spans="1:36" hidden="1" x14ac:dyDescent="0.3">
      <c r="A92" s="4" t="s">
        <v>36</v>
      </c>
      <c r="B92" s="4" t="s">
        <v>37</v>
      </c>
      <c r="C92" s="4" t="s">
        <v>254</v>
      </c>
      <c r="D92" s="4" t="s">
        <v>255</v>
      </c>
      <c r="E92" s="4" t="s">
        <v>214</v>
      </c>
      <c r="F92" s="4" t="s">
        <v>215</v>
      </c>
      <c r="G92" s="4" t="s">
        <v>42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1</v>
      </c>
      <c r="Z92" s="5">
        <v>0</v>
      </c>
      <c r="AA92" s="5">
        <v>0</v>
      </c>
      <c r="AB92" s="5">
        <v>1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6" t="s">
        <v>43</v>
      </c>
      <c r="AJ92" s="7">
        <v>4</v>
      </c>
    </row>
    <row r="93" spans="1:36" hidden="1" x14ac:dyDescent="0.3">
      <c r="A93" s="4" t="s">
        <v>36</v>
      </c>
      <c r="B93" s="4" t="s">
        <v>37</v>
      </c>
      <c r="C93" s="4" t="s">
        <v>256</v>
      </c>
      <c r="D93" s="4" t="s">
        <v>257</v>
      </c>
      <c r="E93" s="4" t="s">
        <v>214</v>
      </c>
      <c r="F93" s="4" t="s">
        <v>215</v>
      </c>
      <c r="G93" s="4" t="s">
        <v>42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1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1</v>
      </c>
      <c r="AF93" s="5">
        <v>0</v>
      </c>
      <c r="AG93" s="5">
        <v>0</v>
      </c>
      <c r="AH93" s="5">
        <v>0</v>
      </c>
      <c r="AI93" s="6" t="s">
        <v>53</v>
      </c>
      <c r="AJ93" s="7">
        <v>2</v>
      </c>
    </row>
    <row r="94" spans="1:36" hidden="1" x14ac:dyDescent="0.3">
      <c r="A94" s="4" t="s">
        <v>36</v>
      </c>
      <c r="B94" s="4" t="s">
        <v>37</v>
      </c>
      <c r="C94" s="4" t="s">
        <v>258</v>
      </c>
      <c r="D94" s="4" t="s">
        <v>259</v>
      </c>
      <c r="E94" s="4" t="s">
        <v>214</v>
      </c>
      <c r="F94" s="4" t="s">
        <v>215</v>
      </c>
      <c r="G94" s="4" t="s">
        <v>42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6" t="s">
        <v>53</v>
      </c>
      <c r="AJ94" s="7">
        <v>1</v>
      </c>
    </row>
    <row r="95" spans="1:36" hidden="1" x14ac:dyDescent="0.3">
      <c r="A95" s="4" t="s">
        <v>36</v>
      </c>
      <c r="B95" s="4" t="s">
        <v>37</v>
      </c>
      <c r="C95" s="4" t="s">
        <v>260</v>
      </c>
      <c r="D95" s="4" t="s">
        <v>261</v>
      </c>
      <c r="E95" s="4" t="s">
        <v>214</v>
      </c>
      <c r="F95" s="4" t="s">
        <v>215</v>
      </c>
      <c r="G95" s="4" t="s">
        <v>42</v>
      </c>
      <c r="H95" s="5">
        <v>1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6" t="s">
        <v>53</v>
      </c>
      <c r="AJ95" s="7">
        <v>3</v>
      </c>
    </row>
    <row r="96" spans="1:36" hidden="1" x14ac:dyDescent="0.3">
      <c r="A96" s="4" t="s">
        <v>36</v>
      </c>
      <c r="B96" s="4" t="s">
        <v>37</v>
      </c>
      <c r="C96" s="4" t="s">
        <v>262</v>
      </c>
      <c r="D96" s="4" t="s">
        <v>263</v>
      </c>
      <c r="E96" s="4" t="s">
        <v>46</v>
      </c>
      <c r="F96" s="4" t="s">
        <v>59</v>
      </c>
      <c r="G96" s="4" t="s">
        <v>60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6" t="s">
        <v>53</v>
      </c>
      <c r="AJ96" s="7">
        <v>1</v>
      </c>
    </row>
    <row r="97" spans="1:36" hidden="1" x14ac:dyDescent="0.3">
      <c r="A97" s="4" t="s">
        <v>36</v>
      </c>
      <c r="B97" s="4" t="s">
        <v>37</v>
      </c>
      <c r="C97" s="4" t="s">
        <v>264</v>
      </c>
      <c r="D97" s="4" t="s">
        <v>265</v>
      </c>
      <c r="E97" s="4" t="s">
        <v>46</v>
      </c>
      <c r="F97" s="4" t="s">
        <v>59</v>
      </c>
      <c r="G97" s="4" t="s">
        <v>60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6" t="s">
        <v>53</v>
      </c>
      <c r="AJ97" s="7">
        <v>0</v>
      </c>
    </row>
    <row r="98" spans="1:36" hidden="1" x14ac:dyDescent="0.3">
      <c r="A98" s="4" t="s">
        <v>36</v>
      </c>
      <c r="B98" s="4" t="s">
        <v>37</v>
      </c>
      <c r="C98" s="4" t="s">
        <v>266</v>
      </c>
      <c r="D98" s="4" t="s">
        <v>267</v>
      </c>
      <c r="E98" s="4" t="s">
        <v>214</v>
      </c>
      <c r="F98" s="4" t="s">
        <v>215</v>
      </c>
      <c r="G98" s="4" t="s">
        <v>42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6" t="s">
        <v>53</v>
      </c>
      <c r="AJ98" s="7">
        <v>1</v>
      </c>
    </row>
    <row r="99" spans="1:36" hidden="1" x14ac:dyDescent="0.3">
      <c r="A99" s="4" t="s">
        <v>36</v>
      </c>
      <c r="B99" s="4" t="s">
        <v>37</v>
      </c>
      <c r="C99" s="4" t="s">
        <v>268</v>
      </c>
      <c r="D99" s="4" t="s">
        <v>269</v>
      </c>
      <c r="E99" s="4" t="s">
        <v>214</v>
      </c>
      <c r="F99" s="4" t="s">
        <v>215</v>
      </c>
      <c r="G99" s="4" t="s">
        <v>42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6" t="s">
        <v>53</v>
      </c>
      <c r="AJ99" s="7">
        <v>1</v>
      </c>
    </row>
    <row r="100" spans="1:36" hidden="1" x14ac:dyDescent="0.3">
      <c r="A100" s="4" t="s">
        <v>36</v>
      </c>
      <c r="B100" s="4" t="s">
        <v>37</v>
      </c>
      <c r="C100" s="4" t="s">
        <v>270</v>
      </c>
      <c r="D100" s="4" t="s">
        <v>271</v>
      </c>
      <c r="E100" s="4" t="s">
        <v>214</v>
      </c>
      <c r="F100" s="4" t="s">
        <v>215</v>
      </c>
      <c r="G100" s="4" t="s">
        <v>42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1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1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6" t="s">
        <v>53</v>
      </c>
      <c r="AJ100" s="7">
        <v>3</v>
      </c>
    </row>
    <row r="101" spans="1:36" hidden="1" x14ac:dyDescent="0.3">
      <c r="A101" s="4" t="s">
        <v>36</v>
      </c>
      <c r="B101" s="4" t="s">
        <v>37</v>
      </c>
      <c r="C101" s="4" t="s">
        <v>272</v>
      </c>
      <c r="D101" s="4" t="s">
        <v>273</v>
      </c>
      <c r="E101" s="4" t="s">
        <v>40</v>
      </c>
      <c r="F101" s="4" t="s">
        <v>215</v>
      </c>
      <c r="G101" s="4" t="s">
        <v>42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6" t="s">
        <v>53</v>
      </c>
      <c r="AJ101" s="7">
        <v>1</v>
      </c>
    </row>
    <row r="102" spans="1:36" hidden="1" x14ac:dyDescent="0.3">
      <c r="A102" s="4" t="s">
        <v>36</v>
      </c>
      <c r="B102" s="4" t="s">
        <v>37</v>
      </c>
      <c r="C102" s="4" t="s">
        <v>274</v>
      </c>
      <c r="D102" s="4" t="s">
        <v>275</v>
      </c>
      <c r="E102" s="4" t="s">
        <v>214</v>
      </c>
      <c r="F102" s="4" t="s">
        <v>215</v>
      </c>
      <c r="G102" s="4" t="s">
        <v>42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6" t="s">
        <v>53</v>
      </c>
      <c r="AJ102" s="7">
        <v>1</v>
      </c>
    </row>
    <row r="103" spans="1:36" hidden="1" x14ac:dyDescent="0.3">
      <c r="A103" s="4" t="s">
        <v>36</v>
      </c>
      <c r="B103" s="4" t="s">
        <v>37</v>
      </c>
      <c r="C103" s="4" t="s">
        <v>276</v>
      </c>
      <c r="D103" s="4" t="s">
        <v>277</v>
      </c>
      <c r="E103" s="4" t="s">
        <v>214</v>
      </c>
      <c r="F103" s="4" t="s">
        <v>215</v>
      </c>
      <c r="G103" s="4" t="s">
        <v>42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6" t="s">
        <v>53</v>
      </c>
      <c r="AJ103" s="7">
        <v>0</v>
      </c>
    </row>
    <row r="104" spans="1:36" hidden="1" x14ac:dyDescent="0.3">
      <c r="A104" s="4" t="s">
        <v>36</v>
      </c>
      <c r="B104" s="4" t="s">
        <v>37</v>
      </c>
      <c r="C104" s="4" t="s">
        <v>278</v>
      </c>
      <c r="D104" s="4" t="s">
        <v>279</v>
      </c>
      <c r="E104" s="4" t="s">
        <v>214</v>
      </c>
      <c r="F104" s="4" t="s">
        <v>215</v>
      </c>
      <c r="G104" s="4" t="s">
        <v>42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1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6" t="s">
        <v>53</v>
      </c>
      <c r="AJ104" s="7">
        <v>1</v>
      </c>
    </row>
    <row r="105" spans="1:36" hidden="1" x14ac:dyDescent="0.3">
      <c r="A105" s="4" t="s">
        <v>36</v>
      </c>
      <c r="B105" s="4" t="s">
        <v>37</v>
      </c>
      <c r="C105" s="4" t="s">
        <v>280</v>
      </c>
      <c r="D105" s="4" t="s">
        <v>281</v>
      </c>
      <c r="E105" s="4" t="s">
        <v>214</v>
      </c>
      <c r="F105" s="4" t="s">
        <v>215</v>
      </c>
      <c r="G105" s="4" t="s">
        <v>42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1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1</v>
      </c>
      <c r="AF105" s="5">
        <v>0</v>
      </c>
      <c r="AG105" s="5">
        <v>0</v>
      </c>
      <c r="AH105" s="5">
        <v>0</v>
      </c>
      <c r="AI105" s="6" t="s">
        <v>53</v>
      </c>
      <c r="AJ105" s="7">
        <v>2</v>
      </c>
    </row>
    <row r="106" spans="1:36" hidden="1" x14ac:dyDescent="0.3">
      <c r="A106" s="4" t="s">
        <v>36</v>
      </c>
      <c r="B106" s="4" t="s">
        <v>37</v>
      </c>
      <c r="C106" s="4" t="s">
        <v>282</v>
      </c>
      <c r="D106" s="4" t="s">
        <v>283</v>
      </c>
      <c r="E106" s="4" t="s">
        <v>214</v>
      </c>
      <c r="F106" s="4" t="s">
        <v>215</v>
      </c>
      <c r="G106" s="4" t="s">
        <v>42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6" t="s">
        <v>53</v>
      </c>
      <c r="AJ106" s="7">
        <v>1</v>
      </c>
    </row>
    <row r="107" spans="1:36" hidden="1" x14ac:dyDescent="0.3">
      <c r="A107" s="4" t="s">
        <v>36</v>
      </c>
      <c r="B107" s="4" t="s">
        <v>37</v>
      </c>
      <c r="C107" s="4" t="s">
        <v>284</v>
      </c>
      <c r="D107" s="4" t="s">
        <v>285</v>
      </c>
      <c r="E107" s="4" t="s">
        <v>46</v>
      </c>
      <c r="F107" s="4" t="s">
        <v>59</v>
      </c>
      <c r="G107" s="4" t="s">
        <v>60</v>
      </c>
      <c r="H107" s="5">
        <v>1</v>
      </c>
      <c r="I107" s="5">
        <v>1</v>
      </c>
      <c r="J107" s="5">
        <v>0</v>
      </c>
      <c r="K107" s="5">
        <v>0</v>
      </c>
      <c r="L107" s="5">
        <v>1</v>
      </c>
      <c r="M107" s="5">
        <v>0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6" t="s">
        <v>53</v>
      </c>
      <c r="AJ107" s="7">
        <v>4</v>
      </c>
    </row>
    <row r="108" spans="1:36" hidden="1" x14ac:dyDescent="0.3">
      <c r="A108" s="4" t="s">
        <v>36</v>
      </c>
      <c r="B108" s="4" t="s">
        <v>37</v>
      </c>
      <c r="C108" s="4" t="s">
        <v>286</v>
      </c>
      <c r="D108" s="4" t="s">
        <v>287</v>
      </c>
      <c r="E108" s="4" t="s">
        <v>214</v>
      </c>
      <c r="F108" s="4" t="s">
        <v>215</v>
      </c>
      <c r="G108" s="4" t="s">
        <v>42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6" t="s">
        <v>53</v>
      </c>
      <c r="AJ108" s="7">
        <v>0</v>
      </c>
    </row>
    <row r="109" spans="1:36" hidden="1" x14ac:dyDescent="0.3">
      <c r="A109" s="4" t="s">
        <v>36</v>
      </c>
      <c r="B109" s="4" t="s">
        <v>37</v>
      </c>
      <c r="C109" s="4" t="s">
        <v>288</v>
      </c>
      <c r="D109" s="4" t="s">
        <v>289</v>
      </c>
      <c r="E109" s="4" t="s">
        <v>214</v>
      </c>
      <c r="F109" s="4" t="s">
        <v>215</v>
      </c>
      <c r="G109" s="4" t="s">
        <v>42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6" t="s">
        <v>53</v>
      </c>
      <c r="AJ109" s="7">
        <v>0</v>
      </c>
    </row>
    <row r="110" spans="1:36" hidden="1" x14ac:dyDescent="0.3">
      <c r="A110" s="4" t="s">
        <v>36</v>
      </c>
      <c r="B110" s="4" t="s">
        <v>37</v>
      </c>
      <c r="C110" s="4" t="s">
        <v>290</v>
      </c>
      <c r="D110" s="4" t="s">
        <v>291</v>
      </c>
      <c r="E110" s="4" t="s">
        <v>214</v>
      </c>
      <c r="F110" s="4" t="s">
        <v>215</v>
      </c>
      <c r="G110" s="4" t="s">
        <v>42</v>
      </c>
      <c r="H110" s="5">
        <v>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6" t="s">
        <v>53</v>
      </c>
      <c r="AJ110" s="7">
        <v>2</v>
      </c>
    </row>
    <row r="111" spans="1:36" hidden="1" x14ac:dyDescent="0.3">
      <c r="A111" s="4" t="s">
        <v>36</v>
      </c>
      <c r="B111" s="4" t="s">
        <v>37</v>
      </c>
      <c r="C111" s="4" t="s">
        <v>292</v>
      </c>
      <c r="D111" s="4" t="s">
        <v>293</v>
      </c>
      <c r="E111" s="4" t="s">
        <v>214</v>
      </c>
      <c r="F111" s="4" t="s">
        <v>215</v>
      </c>
      <c r="G111" s="4" t="s">
        <v>42</v>
      </c>
      <c r="H111" s="5">
        <v>1</v>
      </c>
      <c r="I111" s="5">
        <v>0</v>
      </c>
      <c r="J111" s="5">
        <v>0</v>
      </c>
      <c r="K111" s="5">
        <v>0</v>
      </c>
      <c r="L111" s="5">
        <v>1</v>
      </c>
      <c r="M111" s="5">
        <v>0</v>
      </c>
      <c r="N111" s="5">
        <v>1</v>
      </c>
      <c r="O111" s="5">
        <v>0</v>
      </c>
      <c r="P111" s="5">
        <v>1</v>
      </c>
      <c r="Q111" s="5">
        <v>1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1</v>
      </c>
      <c r="AI111" s="6" t="s">
        <v>43</v>
      </c>
      <c r="AJ111" s="7">
        <v>6</v>
      </c>
    </row>
    <row r="112" spans="1:36" hidden="1" x14ac:dyDescent="0.3">
      <c r="A112" s="4" t="s">
        <v>36</v>
      </c>
      <c r="B112" s="4" t="s">
        <v>37</v>
      </c>
      <c r="C112" s="4" t="s">
        <v>294</v>
      </c>
      <c r="D112" s="4" t="s">
        <v>295</v>
      </c>
      <c r="E112" s="4" t="s">
        <v>214</v>
      </c>
      <c r="F112" s="4" t="s">
        <v>215</v>
      </c>
      <c r="G112" s="4" t="s">
        <v>42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6" t="s">
        <v>53</v>
      </c>
      <c r="AJ112" s="7">
        <v>1</v>
      </c>
    </row>
    <row r="113" spans="1:36" hidden="1" x14ac:dyDescent="0.3">
      <c r="A113" s="4" t="s">
        <v>36</v>
      </c>
      <c r="B113" s="4" t="s">
        <v>37</v>
      </c>
      <c r="C113" s="4" t="s">
        <v>296</v>
      </c>
      <c r="D113" s="4" t="s">
        <v>297</v>
      </c>
      <c r="E113" s="4" t="s">
        <v>214</v>
      </c>
      <c r="F113" s="4" t="s">
        <v>215</v>
      </c>
      <c r="G113" s="4" t="s">
        <v>42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6" t="s">
        <v>53</v>
      </c>
      <c r="AJ113" s="7">
        <v>1</v>
      </c>
    </row>
    <row r="114" spans="1:36" hidden="1" x14ac:dyDescent="0.3">
      <c r="A114" s="4" t="s">
        <v>36</v>
      </c>
      <c r="B114" s="4" t="s">
        <v>37</v>
      </c>
      <c r="C114" s="4" t="s">
        <v>298</v>
      </c>
      <c r="D114" s="4" t="s">
        <v>299</v>
      </c>
      <c r="E114" s="4" t="s">
        <v>214</v>
      </c>
      <c r="F114" s="4" t="s">
        <v>215</v>
      </c>
      <c r="G114" s="4" t="s">
        <v>42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1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6" t="s">
        <v>53</v>
      </c>
      <c r="AJ114" s="7">
        <v>1</v>
      </c>
    </row>
    <row r="115" spans="1:36" hidden="1" x14ac:dyDescent="0.3">
      <c r="A115" s="4" t="s">
        <v>36</v>
      </c>
      <c r="B115" s="4" t="s">
        <v>37</v>
      </c>
      <c r="C115" s="4" t="s">
        <v>300</v>
      </c>
      <c r="D115" s="4" t="s">
        <v>301</v>
      </c>
      <c r="E115" s="4" t="s">
        <v>214</v>
      </c>
      <c r="F115" s="4" t="s">
        <v>215</v>
      </c>
      <c r="G115" s="4" t="s">
        <v>42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6" t="s">
        <v>53</v>
      </c>
      <c r="AJ115" s="7">
        <v>0</v>
      </c>
    </row>
    <row r="116" spans="1:36" hidden="1" x14ac:dyDescent="0.3">
      <c r="A116" s="4" t="s">
        <v>36</v>
      </c>
      <c r="B116" s="4" t="s">
        <v>37</v>
      </c>
      <c r="C116" s="4" t="s">
        <v>302</v>
      </c>
      <c r="D116" s="4" t="s">
        <v>303</v>
      </c>
      <c r="E116" s="4" t="s">
        <v>214</v>
      </c>
      <c r="F116" s="4" t="s">
        <v>215</v>
      </c>
      <c r="G116" s="4" t="s">
        <v>42</v>
      </c>
      <c r="H116" s="5">
        <v>1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6" t="s">
        <v>53</v>
      </c>
      <c r="AJ116" s="7">
        <v>1</v>
      </c>
    </row>
    <row r="117" spans="1:36" hidden="1" x14ac:dyDescent="0.3">
      <c r="A117" s="4" t="s">
        <v>36</v>
      </c>
      <c r="B117" s="4" t="s">
        <v>37</v>
      </c>
      <c r="C117" s="4" t="s">
        <v>304</v>
      </c>
      <c r="D117" s="4" t="s">
        <v>305</v>
      </c>
      <c r="E117" s="4" t="s">
        <v>214</v>
      </c>
      <c r="F117" s="4" t="s">
        <v>215</v>
      </c>
      <c r="G117" s="4" t="s">
        <v>42</v>
      </c>
      <c r="H117" s="5">
        <v>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6" t="s">
        <v>53</v>
      </c>
      <c r="AJ117" s="7">
        <v>1</v>
      </c>
    </row>
    <row r="118" spans="1:36" hidden="1" x14ac:dyDescent="0.3">
      <c r="A118" s="4" t="s">
        <v>36</v>
      </c>
      <c r="B118" s="4" t="s">
        <v>37</v>
      </c>
      <c r="C118" s="4" t="s">
        <v>306</v>
      </c>
      <c r="D118" s="4" t="s">
        <v>307</v>
      </c>
      <c r="E118" s="4" t="s">
        <v>214</v>
      </c>
      <c r="F118" s="4" t="s">
        <v>215</v>
      </c>
      <c r="G118" s="4" t="s">
        <v>42</v>
      </c>
      <c r="H118" s="5">
        <v>1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1</v>
      </c>
      <c r="O118" s="5">
        <v>0</v>
      </c>
      <c r="P118" s="5">
        <v>0</v>
      </c>
      <c r="Q118" s="5">
        <v>1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1</v>
      </c>
      <c r="AF118" s="5">
        <v>0</v>
      </c>
      <c r="AG118" s="5">
        <v>0</v>
      </c>
      <c r="AH118" s="5">
        <v>0</v>
      </c>
      <c r="AI118" s="6" t="s">
        <v>43</v>
      </c>
      <c r="AJ118" s="7">
        <v>4</v>
      </c>
    </row>
    <row r="119" spans="1:36" hidden="1" x14ac:dyDescent="0.3">
      <c r="A119" s="4" t="s">
        <v>36</v>
      </c>
      <c r="B119" s="4" t="s">
        <v>37</v>
      </c>
      <c r="C119" s="4" t="s">
        <v>308</v>
      </c>
      <c r="D119" s="4" t="s">
        <v>309</v>
      </c>
      <c r="E119" s="4" t="s">
        <v>214</v>
      </c>
      <c r="F119" s="4" t="s">
        <v>215</v>
      </c>
      <c r="G119" s="4" t="s">
        <v>42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6" t="s">
        <v>53</v>
      </c>
      <c r="AJ119" s="7">
        <v>0</v>
      </c>
    </row>
    <row r="120" spans="1:36" hidden="1" x14ac:dyDescent="0.3">
      <c r="A120" s="4" t="s">
        <v>36</v>
      </c>
      <c r="B120" s="4" t="s">
        <v>37</v>
      </c>
      <c r="C120" s="4" t="s">
        <v>310</v>
      </c>
      <c r="D120" s="4" t="s">
        <v>311</v>
      </c>
      <c r="E120" s="4" t="s">
        <v>214</v>
      </c>
      <c r="F120" s="4" t="s">
        <v>215</v>
      </c>
      <c r="G120" s="4" t="s">
        <v>42</v>
      </c>
      <c r="H120" s="5">
        <v>1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6" t="s">
        <v>53</v>
      </c>
      <c r="AJ120" s="7">
        <v>1</v>
      </c>
    </row>
    <row r="121" spans="1:36" hidden="1" x14ac:dyDescent="0.3">
      <c r="A121" s="4" t="s">
        <v>36</v>
      </c>
      <c r="B121" s="4" t="s">
        <v>37</v>
      </c>
      <c r="C121" s="4" t="s">
        <v>312</v>
      </c>
      <c r="D121" s="4" t="s">
        <v>313</v>
      </c>
      <c r="E121" s="4" t="s">
        <v>214</v>
      </c>
      <c r="F121" s="4" t="s">
        <v>215</v>
      </c>
      <c r="G121" s="4" t="s">
        <v>42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6" t="s">
        <v>53</v>
      </c>
      <c r="AJ121" s="7">
        <v>0</v>
      </c>
    </row>
    <row r="122" spans="1:36" hidden="1" x14ac:dyDescent="0.3">
      <c r="A122" s="4" t="s">
        <v>36</v>
      </c>
      <c r="B122" s="4" t="s">
        <v>37</v>
      </c>
      <c r="C122" s="4" t="s">
        <v>314</v>
      </c>
      <c r="D122" s="4" t="s">
        <v>315</v>
      </c>
      <c r="E122" s="4" t="s">
        <v>214</v>
      </c>
      <c r="F122" s="4" t="s">
        <v>215</v>
      </c>
      <c r="G122" s="4" t="s">
        <v>42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6" t="s">
        <v>53</v>
      </c>
      <c r="AJ122" s="7">
        <v>0</v>
      </c>
    </row>
    <row r="123" spans="1:36" hidden="1" x14ac:dyDescent="0.3">
      <c r="A123" s="4" t="s">
        <v>36</v>
      </c>
      <c r="B123" s="4" t="s">
        <v>37</v>
      </c>
      <c r="C123" s="4" t="s">
        <v>316</v>
      </c>
      <c r="D123" s="4" t="s">
        <v>317</v>
      </c>
      <c r="E123" s="4" t="s">
        <v>46</v>
      </c>
      <c r="F123" s="4" t="s">
        <v>83</v>
      </c>
      <c r="G123" s="4" t="s">
        <v>52</v>
      </c>
      <c r="H123" s="5">
        <v>0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1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1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6" t="s">
        <v>53</v>
      </c>
      <c r="AJ123" s="7">
        <v>3</v>
      </c>
    </row>
    <row r="124" spans="1:36" hidden="1" x14ac:dyDescent="0.3">
      <c r="A124" s="4" t="s">
        <v>36</v>
      </c>
      <c r="B124" s="4" t="s">
        <v>37</v>
      </c>
      <c r="C124" s="4" t="s">
        <v>318</v>
      </c>
      <c r="D124" s="4" t="s">
        <v>319</v>
      </c>
      <c r="E124" s="4" t="s">
        <v>214</v>
      </c>
      <c r="F124" s="4" t="s">
        <v>215</v>
      </c>
      <c r="G124" s="4" t="s">
        <v>42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6" t="s">
        <v>53</v>
      </c>
      <c r="AJ124" s="7">
        <v>1</v>
      </c>
    </row>
    <row r="125" spans="1:36" hidden="1" x14ac:dyDescent="0.3">
      <c r="A125" s="4" t="s">
        <v>36</v>
      </c>
      <c r="B125" s="4" t="s">
        <v>37</v>
      </c>
      <c r="C125" s="4" t="s">
        <v>320</v>
      </c>
      <c r="D125" s="4" t="s">
        <v>321</v>
      </c>
      <c r="E125" s="4" t="s">
        <v>214</v>
      </c>
      <c r="F125" s="4" t="s">
        <v>215</v>
      </c>
      <c r="G125" s="4" t="s">
        <v>42</v>
      </c>
      <c r="H125" s="5">
        <v>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6" t="s">
        <v>53</v>
      </c>
      <c r="AJ125" s="7">
        <v>2</v>
      </c>
    </row>
    <row r="126" spans="1:36" hidden="1" x14ac:dyDescent="0.3">
      <c r="A126" s="4" t="s">
        <v>36</v>
      </c>
      <c r="B126" s="4" t="s">
        <v>37</v>
      </c>
      <c r="C126" s="4" t="s">
        <v>322</v>
      </c>
      <c r="D126" s="4" t="s">
        <v>323</v>
      </c>
      <c r="E126" s="4" t="s">
        <v>214</v>
      </c>
      <c r="F126" s="4" t="s">
        <v>215</v>
      </c>
      <c r="G126" s="4" t="s">
        <v>42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6" t="s">
        <v>53</v>
      </c>
      <c r="AJ126" s="7">
        <v>0</v>
      </c>
    </row>
    <row r="127" spans="1:36" hidden="1" x14ac:dyDescent="0.3">
      <c r="A127" s="4" t="s">
        <v>36</v>
      </c>
      <c r="B127" s="4" t="s">
        <v>37</v>
      </c>
      <c r="C127" s="4" t="s">
        <v>324</v>
      </c>
      <c r="D127" s="4" t="s">
        <v>325</v>
      </c>
      <c r="E127" s="4" t="s">
        <v>40</v>
      </c>
      <c r="F127" s="4" t="s">
        <v>83</v>
      </c>
      <c r="G127" s="4" t="s">
        <v>52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1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1</v>
      </c>
      <c r="AI127" s="6" t="s">
        <v>53</v>
      </c>
      <c r="AJ127" s="7">
        <v>2</v>
      </c>
    </row>
    <row r="128" spans="1:36" hidden="1" x14ac:dyDescent="0.3">
      <c r="A128" s="4" t="s">
        <v>36</v>
      </c>
      <c r="B128" s="4" t="s">
        <v>37</v>
      </c>
      <c r="C128" s="4" t="s">
        <v>326</v>
      </c>
      <c r="D128" s="4" t="s">
        <v>327</v>
      </c>
      <c r="E128" s="4" t="s">
        <v>214</v>
      </c>
      <c r="F128" s="4" t="s">
        <v>215</v>
      </c>
      <c r="G128" s="4" t="s">
        <v>42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6" t="s">
        <v>53</v>
      </c>
      <c r="AJ128" s="7">
        <v>0</v>
      </c>
    </row>
    <row r="129" spans="1:36" hidden="1" x14ac:dyDescent="0.3">
      <c r="A129" s="4" t="s">
        <v>36</v>
      </c>
      <c r="B129" s="4" t="s">
        <v>37</v>
      </c>
      <c r="C129" s="4" t="s">
        <v>328</v>
      </c>
      <c r="D129" s="4" t="s">
        <v>329</v>
      </c>
      <c r="E129" s="4" t="s">
        <v>214</v>
      </c>
      <c r="F129" s="4" t="s">
        <v>215</v>
      </c>
      <c r="G129" s="4" t="s">
        <v>42</v>
      </c>
      <c r="H129" s="5">
        <v>1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6" t="s">
        <v>53</v>
      </c>
      <c r="AJ129" s="7">
        <v>2</v>
      </c>
    </row>
    <row r="130" spans="1:36" hidden="1" x14ac:dyDescent="0.3">
      <c r="A130" s="4" t="s">
        <v>36</v>
      </c>
      <c r="B130" s="4" t="s">
        <v>37</v>
      </c>
      <c r="C130" s="4" t="s">
        <v>330</v>
      </c>
      <c r="D130" s="4" t="s">
        <v>331</v>
      </c>
      <c r="E130" s="4" t="s">
        <v>214</v>
      </c>
      <c r="F130" s="4" t="s">
        <v>215</v>
      </c>
      <c r="G130" s="4" t="s">
        <v>42</v>
      </c>
      <c r="H130" s="5">
        <v>0</v>
      </c>
      <c r="I130" s="5">
        <v>1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1</v>
      </c>
      <c r="AF130" s="5">
        <v>0</v>
      </c>
      <c r="AG130" s="5">
        <v>0</v>
      </c>
      <c r="AH130" s="5">
        <v>0</v>
      </c>
      <c r="AI130" s="6" t="s">
        <v>53</v>
      </c>
      <c r="AJ130" s="7">
        <v>2</v>
      </c>
    </row>
    <row r="131" spans="1:36" hidden="1" x14ac:dyDescent="0.3">
      <c r="A131" s="4" t="s">
        <v>36</v>
      </c>
      <c r="B131" s="4" t="s">
        <v>37</v>
      </c>
      <c r="C131" s="4" t="s">
        <v>332</v>
      </c>
      <c r="D131" s="4" t="s">
        <v>333</v>
      </c>
      <c r="E131" s="4" t="s">
        <v>214</v>
      </c>
      <c r="F131" s="4" t="s">
        <v>215</v>
      </c>
      <c r="G131" s="4" t="s">
        <v>42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6" t="s">
        <v>53</v>
      </c>
      <c r="AJ131" s="7">
        <v>1</v>
      </c>
    </row>
    <row r="132" spans="1:36" hidden="1" x14ac:dyDescent="0.3">
      <c r="A132" s="4" t="s">
        <v>36</v>
      </c>
      <c r="B132" s="4" t="s">
        <v>37</v>
      </c>
      <c r="C132" s="4" t="s">
        <v>334</v>
      </c>
      <c r="D132" s="4" t="s">
        <v>335</v>
      </c>
      <c r="E132" s="4" t="s">
        <v>214</v>
      </c>
      <c r="F132" s="4" t="s">
        <v>215</v>
      </c>
      <c r="G132" s="4" t="s">
        <v>42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1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6" t="s">
        <v>53</v>
      </c>
      <c r="AJ132" s="7">
        <v>1</v>
      </c>
    </row>
    <row r="133" spans="1:36" hidden="1" x14ac:dyDescent="0.3">
      <c r="A133" s="4" t="s">
        <v>36</v>
      </c>
      <c r="B133" s="4" t="s">
        <v>37</v>
      </c>
      <c r="C133" s="4" t="s">
        <v>336</v>
      </c>
      <c r="D133" s="4" t="s">
        <v>337</v>
      </c>
      <c r="E133" s="4" t="s">
        <v>46</v>
      </c>
      <c r="F133" s="4" t="s">
        <v>72</v>
      </c>
      <c r="G133" s="4" t="s">
        <v>52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6" t="s">
        <v>53</v>
      </c>
      <c r="AJ133" s="7">
        <v>2</v>
      </c>
    </row>
    <row r="134" spans="1:36" hidden="1" x14ac:dyDescent="0.3">
      <c r="A134" s="4" t="s">
        <v>36</v>
      </c>
      <c r="B134" s="4" t="s">
        <v>37</v>
      </c>
      <c r="C134" s="4" t="s">
        <v>338</v>
      </c>
      <c r="D134" s="4" t="s">
        <v>339</v>
      </c>
      <c r="E134" s="4" t="s">
        <v>214</v>
      </c>
      <c r="F134" s="4" t="s">
        <v>215</v>
      </c>
      <c r="G134" s="4" t="s">
        <v>42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1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6" t="s">
        <v>53</v>
      </c>
      <c r="AJ134" s="7">
        <v>1</v>
      </c>
    </row>
    <row r="135" spans="1:36" hidden="1" x14ac:dyDescent="0.3">
      <c r="A135" s="4" t="s">
        <v>36</v>
      </c>
      <c r="B135" s="4" t="s">
        <v>37</v>
      </c>
      <c r="C135" s="4" t="s">
        <v>340</v>
      </c>
      <c r="D135" s="4" t="s">
        <v>341</v>
      </c>
      <c r="E135" s="4" t="s">
        <v>46</v>
      </c>
      <c r="F135" s="4" t="s">
        <v>51</v>
      </c>
      <c r="G135" s="4" t="s">
        <v>52</v>
      </c>
      <c r="H135" s="5">
        <v>1</v>
      </c>
      <c r="I135" s="5">
        <v>1</v>
      </c>
      <c r="J135" s="5">
        <v>0</v>
      </c>
      <c r="K135" s="5">
        <v>0</v>
      </c>
      <c r="L135" s="5">
        <v>1</v>
      </c>
      <c r="M135" s="5">
        <v>0</v>
      </c>
      <c r="N135" s="5">
        <v>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</v>
      </c>
      <c r="U135" s="5">
        <v>1</v>
      </c>
      <c r="V135" s="5">
        <v>0</v>
      </c>
      <c r="W135" s="5">
        <v>0</v>
      </c>
      <c r="X135" s="5">
        <v>0</v>
      </c>
      <c r="Y135" s="5">
        <v>0</v>
      </c>
      <c r="Z135" s="5">
        <v>1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6" t="s">
        <v>43</v>
      </c>
      <c r="AJ135" s="7">
        <v>7</v>
      </c>
    </row>
    <row r="136" spans="1:36" hidden="1" x14ac:dyDescent="0.3">
      <c r="A136" s="4" t="s">
        <v>36</v>
      </c>
      <c r="B136" s="4" t="s">
        <v>37</v>
      </c>
      <c r="C136" s="4" t="s">
        <v>342</v>
      </c>
      <c r="D136" s="4" t="s">
        <v>343</v>
      </c>
      <c r="E136" s="4" t="s">
        <v>214</v>
      </c>
      <c r="F136" s="4" t="s">
        <v>215</v>
      </c>
      <c r="G136" s="4" t="s">
        <v>42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1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6" t="s">
        <v>43</v>
      </c>
      <c r="AJ136" s="7">
        <v>2</v>
      </c>
    </row>
    <row r="137" spans="1:36" hidden="1" x14ac:dyDescent="0.3">
      <c r="A137" s="4" t="s">
        <v>36</v>
      </c>
      <c r="B137" s="4" t="s">
        <v>37</v>
      </c>
      <c r="C137" s="4" t="s">
        <v>344</v>
      </c>
      <c r="D137" s="4" t="s">
        <v>345</v>
      </c>
      <c r="E137" s="4" t="s">
        <v>46</v>
      </c>
      <c r="F137" s="4" t="s">
        <v>168</v>
      </c>
      <c r="G137" s="4" t="s">
        <v>52</v>
      </c>
      <c r="H137" s="5">
        <v>1</v>
      </c>
      <c r="I137" s="5">
        <v>0</v>
      </c>
      <c r="J137" s="5">
        <v>0</v>
      </c>
      <c r="K137" s="5">
        <v>0</v>
      </c>
      <c r="L137" s="5">
        <v>1</v>
      </c>
      <c r="M137" s="5">
        <v>1</v>
      </c>
      <c r="N137" s="5">
        <v>0</v>
      </c>
      <c r="O137" s="5">
        <v>0</v>
      </c>
      <c r="P137" s="5">
        <v>0</v>
      </c>
      <c r="Q137" s="5">
        <v>1</v>
      </c>
      <c r="R137" s="5">
        <v>0</v>
      </c>
      <c r="S137" s="5">
        <v>0</v>
      </c>
      <c r="T137" s="5">
        <v>0</v>
      </c>
      <c r="U137" s="5">
        <v>1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1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6" t="s">
        <v>43</v>
      </c>
      <c r="AJ137" s="7">
        <v>6</v>
      </c>
    </row>
    <row r="138" spans="1:36" hidden="1" x14ac:dyDescent="0.3">
      <c r="A138" s="4" t="s">
        <v>36</v>
      </c>
      <c r="B138" s="4" t="s">
        <v>37</v>
      </c>
      <c r="C138" s="4" t="s">
        <v>346</v>
      </c>
      <c r="D138" s="4" t="s">
        <v>347</v>
      </c>
      <c r="E138" s="4" t="s">
        <v>214</v>
      </c>
      <c r="F138" s="4" t="s">
        <v>215</v>
      </c>
      <c r="G138" s="4" t="s">
        <v>42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1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6" t="s">
        <v>43</v>
      </c>
      <c r="AJ138" s="7">
        <v>1</v>
      </c>
    </row>
    <row r="139" spans="1:36" hidden="1" x14ac:dyDescent="0.3">
      <c r="A139" s="4" t="s">
        <v>36</v>
      </c>
      <c r="B139" s="4" t="s">
        <v>37</v>
      </c>
      <c r="C139" s="4" t="s">
        <v>348</v>
      </c>
      <c r="D139" s="4" t="s">
        <v>349</v>
      </c>
      <c r="E139" s="4" t="s">
        <v>46</v>
      </c>
      <c r="F139" s="4" t="s">
        <v>96</v>
      </c>
      <c r="G139" s="4" t="s">
        <v>64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6" t="s">
        <v>53</v>
      </c>
      <c r="AJ139" s="7">
        <v>1</v>
      </c>
    </row>
    <row r="140" spans="1:36" hidden="1" x14ac:dyDescent="0.3">
      <c r="A140" s="4" t="s">
        <v>36</v>
      </c>
      <c r="B140" s="4" t="s">
        <v>37</v>
      </c>
      <c r="C140" s="4" t="s">
        <v>350</v>
      </c>
      <c r="D140" s="4" t="s">
        <v>351</v>
      </c>
      <c r="E140" s="4" t="s">
        <v>46</v>
      </c>
      <c r="F140" s="4" t="s">
        <v>96</v>
      </c>
      <c r="G140" s="4" t="s">
        <v>64</v>
      </c>
      <c r="H140" s="5">
        <v>0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5">
        <v>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1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6" t="s">
        <v>53</v>
      </c>
      <c r="AJ140" s="7">
        <v>3</v>
      </c>
    </row>
    <row r="141" spans="1:36" hidden="1" x14ac:dyDescent="0.3">
      <c r="A141" s="4" t="s">
        <v>36</v>
      </c>
      <c r="B141" s="4" t="s">
        <v>37</v>
      </c>
      <c r="C141" s="4" t="s">
        <v>352</v>
      </c>
      <c r="D141" s="4" t="s">
        <v>353</v>
      </c>
      <c r="E141" s="4" t="s">
        <v>214</v>
      </c>
      <c r="F141" s="4" t="s">
        <v>215</v>
      </c>
      <c r="G141" s="4" t="s">
        <v>42</v>
      </c>
      <c r="H141" s="5">
        <v>1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1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6" t="s">
        <v>53</v>
      </c>
      <c r="AJ141" s="7">
        <v>3</v>
      </c>
    </row>
    <row r="142" spans="1:36" hidden="1" x14ac:dyDescent="0.3">
      <c r="A142" s="4" t="s">
        <v>36</v>
      </c>
      <c r="B142" s="4" t="s">
        <v>37</v>
      </c>
      <c r="C142" s="4" t="s">
        <v>354</v>
      </c>
      <c r="D142" s="4" t="s">
        <v>355</v>
      </c>
      <c r="E142" s="4" t="s">
        <v>46</v>
      </c>
      <c r="F142" s="4" t="s">
        <v>72</v>
      </c>
      <c r="G142" s="4" t="s">
        <v>52</v>
      </c>
      <c r="H142" s="5">
        <v>1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6" t="s">
        <v>53</v>
      </c>
      <c r="AJ142" s="7">
        <v>1</v>
      </c>
    </row>
    <row r="143" spans="1:36" hidden="1" x14ac:dyDescent="0.3">
      <c r="A143" s="4" t="s">
        <v>36</v>
      </c>
      <c r="B143" s="4" t="s">
        <v>37</v>
      </c>
      <c r="C143" s="4" t="s">
        <v>356</v>
      </c>
      <c r="D143" s="4" t="s">
        <v>357</v>
      </c>
      <c r="E143" s="4" t="s">
        <v>46</v>
      </c>
      <c r="F143" s="4" t="s">
        <v>140</v>
      </c>
      <c r="G143" s="4" t="s">
        <v>42</v>
      </c>
      <c r="H143" s="5">
        <v>0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1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6" t="s">
        <v>53</v>
      </c>
      <c r="AJ143" s="7">
        <v>2</v>
      </c>
    </row>
    <row r="144" spans="1:36" hidden="1" x14ac:dyDescent="0.3">
      <c r="A144" s="4" t="s">
        <v>36</v>
      </c>
      <c r="B144" s="4" t="s">
        <v>37</v>
      </c>
      <c r="C144" s="4" t="s">
        <v>358</v>
      </c>
      <c r="D144" s="4" t="s">
        <v>359</v>
      </c>
      <c r="E144" s="4" t="s">
        <v>46</v>
      </c>
      <c r="F144" s="4" t="s">
        <v>80</v>
      </c>
      <c r="G144" s="4" t="s">
        <v>64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6" t="s">
        <v>53</v>
      </c>
      <c r="AJ144" s="7">
        <v>2</v>
      </c>
    </row>
    <row r="145" spans="1:36" hidden="1" x14ac:dyDescent="0.3">
      <c r="A145" s="4" t="s">
        <v>36</v>
      </c>
      <c r="B145" s="4" t="s">
        <v>37</v>
      </c>
      <c r="C145" s="4" t="s">
        <v>360</v>
      </c>
      <c r="D145" s="4" t="s">
        <v>361</v>
      </c>
      <c r="E145" s="4" t="s">
        <v>40</v>
      </c>
      <c r="F145" s="4" t="s">
        <v>63</v>
      </c>
      <c r="G145" s="4" t="s">
        <v>64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6" t="s">
        <v>43</v>
      </c>
      <c r="AJ145" s="7">
        <v>2</v>
      </c>
    </row>
    <row r="146" spans="1:36" hidden="1" x14ac:dyDescent="0.3">
      <c r="A146" s="4" t="s">
        <v>36</v>
      </c>
      <c r="B146" s="4" t="s">
        <v>37</v>
      </c>
      <c r="C146" s="4" t="s">
        <v>362</v>
      </c>
      <c r="D146" s="4" t="s">
        <v>363</v>
      </c>
      <c r="E146" s="4" t="s">
        <v>40</v>
      </c>
      <c r="F146" s="4" t="s">
        <v>51</v>
      </c>
      <c r="G146" s="4" t="s">
        <v>52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6" t="s">
        <v>43</v>
      </c>
      <c r="AJ146" s="7">
        <v>0</v>
      </c>
    </row>
    <row r="147" spans="1:36" hidden="1" x14ac:dyDescent="0.3">
      <c r="A147" s="4" t="s">
        <v>36</v>
      </c>
      <c r="B147" s="4" t="s">
        <v>37</v>
      </c>
      <c r="C147" s="4" t="s">
        <v>364</v>
      </c>
      <c r="D147" s="4" t="s">
        <v>365</v>
      </c>
      <c r="E147" s="4" t="s">
        <v>46</v>
      </c>
      <c r="F147" s="4" t="s">
        <v>51</v>
      </c>
      <c r="G147" s="4" t="s">
        <v>52</v>
      </c>
      <c r="H147" s="5">
        <v>0</v>
      </c>
      <c r="I147" s="5">
        <v>1</v>
      </c>
      <c r="J147" s="5">
        <v>1</v>
      </c>
      <c r="K147" s="5">
        <v>0</v>
      </c>
      <c r="L147" s="5">
        <v>0</v>
      </c>
      <c r="M147" s="5">
        <v>0</v>
      </c>
      <c r="N147" s="5">
        <v>1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6" t="s">
        <v>53</v>
      </c>
      <c r="AJ147" s="7">
        <v>3</v>
      </c>
    </row>
    <row r="148" spans="1:36" hidden="1" x14ac:dyDescent="0.3">
      <c r="A148" s="4" t="s">
        <v>36</v>
      </c>
      <c r="B148" s="4" t="s">
        <v>37</v>
      </c>
      <c r="C148" s="4" t="s">
        <v>366</v>
      </c>
      <c r="D148" s="4" t="s">
        <v>367</v>
      </c>
      <c r="E148" s="4" t="s">
        <v>46</v>
      </c>
      <c r="F148" s="4" t="s">
        <v>51</v>
      </c>
      <c r="G148" s="4" t="s">
        <v>52</v>
      </c>
      <c r="H148" s="5">
        <v>1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6" t="s">
        <v>53</v>
      </c>
      <c r="AJ148" s="7">
        <v>1</v>
      </c>
    </row>
    <row r="149" spans="1:36" hidden="1" x14ac:dyDescent="0.3">
      <c r="A149" s="4" t="s">
        <v>36</v>
      </c>
      <c r="B149" s="4" t="s">
        <v>37</v>
      </c>
      <c r="C149" s="4" t="s">
        <v>368</v>
      </c>
      <c r="D149" s="4" t="s">
        <v>369</v>
      </c>
      <c r="E149" s="4" t="s">
        <v>46</v>
      </c>
      <c r="F149" s="4" t="s">
        <v>215</v>
      </c>
      <c r="G149" s="4" t="s">
        <v>42</v>
      </c>
      <c r="H149" s="5">
        <v>1</v>
      </c>
      <c r="I149" s="5">
        <v>0</v>
      </c>
      <c r="J149" s="5">
        <v>0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0</v>
      </c>
      <c r="R149" s="5">
        <v>0</v>
      </c>
      <c r="S149" s="5">
        <v>0</v>
      </c>
      <c r="T149" s="5">
        <v>0</v>
      </c>
      <c r="U149" s="5">
        <v>1</v>
      </c>
      <c r="V149" s="5">
        <v>0</v>
      </c>
      <c r="W149" s="5">
        <v>1</v>
      </c>
      <c r="X149" s="5">
        <v>0</v>
      </c>
      <c r="Y149" s="5">
        <v>1</v>
      </c>
      <c r="Z149" s="5">
        <v>0</v>
      </c>
      <c r="AA149" s="5">
        <v>1</v>
      </c>
      <c r="AB149" s="5">
        <v>1</v>
      </c>
      <c r="AC149" s="5">
        <v>1</v>
      </c>
      <c r="AD149" s="5">
        <v>0</v>
      </c>
      <c r="AE149" s="5">
        <v>1</v>
      </c>
      <c r="AF149" s="5">
        <v>1</v>
      </c>
      <c r="AG149" s="5">
        <v>1</v>
      </c>
      <c r="AH149" s="5">
        <v>1</v>
      </c>
      <c r="AI149" s="6" t="s">
        <v>43</v>
      </c>
      <c r="AJ149" s="7">
        <v>17</v>
      </c>
    </row>
    <row r="150" spans="1:36" hidden="1" x14ac:dyDescent="0.3">
      <c r="A150" s="4" t="s">
        <v>36</v>
      </c>
      <c r="B150" s="4" t="s">
        <v>37</v>
      </c>
      <c r="C150" s="4" t="s">
        <v>370</v>
      </c>
      <c r="D150" s="4" t="s">
        <v>371</v>
      </c>
      <c r="E150" s="4" t="s">
        <v>214</v>
      </c>
      <c r="F150" s="4" t="s">
        <v>215</v>
      </c>
      <c r="G150" s="4" t="s">
        <v>42</v>
      </c>
      <c r="H150" s="5">
        <v>1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1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6" t="s">
        <v>53</v>
      </c>
      <c r="AJ150" s="7">
        <v>2</v>
      </c>
    </row>
    <row r="151" spans="1:36" hidden="1" x14ac:dyDescent="0.3">
      <c r="A151" s="4" t="s">
        <v>36</v>
      </c>
      <c r="B151" s="4" t="s">
        <v>37</v>
      </c>
      <c r="C151" s="4" t="s">
        <v>372</v>
      </c>
      <c r="D151" s="4" t="s">
        <v>373</v>
      </c>
      <c r="E151" s="4" t="s">
        <v>46</v>
      </c>
      <c r="F151" s="4" t="s">
        <v>72</v>
      </c>
      <c r="G151" s="4" t="s">
        <v>52</v>
      </c>
      <c r="H151" s="5">
        <v>1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1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1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6" t="s">
        <v>43</v>
      </c>
      <c r="AJ151" s="7">
        <v>4</v>
      </c>
    </row>
    <row r="152" spans="1:36" hidden="1" x14ac:dyDescent="0.3">
      <c r="A152" s="4" t="s">
        <v>36</v>
      </c>
      <c r="B152" s="4" t="s">
        <v>37</v>
      </c>
      <c r="C152" s="4" t="s">
        <v>374</v>
      </c>
      <c r="D152" s="4" t="s">
        <v>375</v>
      </c>
      <c r="E152" s="4" t="s">
        <v>46</v>
      </c>
      <c r="F152" s="4" t="s">
        <v>86</v>
      </c>
      <c r="G152" s="4" t="s">
        <v>42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1</v>
      </c>
      <c r="V152" s="5">
        <v>0</v>
      </c>
      <c r="W152" s="5">
        <v>1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6" t="s">
        <v>53</v>
      </c>
      <c r="AJ152" s="7">
        <v>2</v>
      </c>
    </row>
    <row r="153" spans="1:36" hidden="1" x14ac:dyDescent="0.3">
      <c r="A153" s="4" t="s">
        <v>36</v>
      </c>
      <c r="B153" s="4" t="s">
        <v>37</v>
      </c>
      <c r="C153" s="4" t="s">
        <v>376</v>
      </c>
      <c r="D153" s="4" t="s">
        <v>377</v>
      </c>
      <c r="E153" s="4" t="s">
        <v>214</v>
      </c>
      <c r="F153" s="4" t="s">
        <v>215</v>
      </c>
      <c r="G153" s="4" t="s">
        <v>42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1</v>
      </c>
      <c r="AF153" s="5">
        <v>0</v>
      </c>
      <c r="AG153" s="5">
        <v>0</v>
      </c>
      <c r="AH153" s="5">
        <v>0</v>
      </c>
      <c r="AI153" s="6" t="s">
        <v>53</v>
      </c>
      <c r="AJ153" s="7">
        <v>1</v>
      </c>
    </row>
    <row r="154" spans="1:36" hidden="1" x14ac:dyDescent="0.3">
      <c r="A154" s="4" t="s">
        <v>36</v>
      </c>
      <c r="B154" s="4" t="s">
        <v>37</v>
      </c>
      <c r="C154" s="4" t="s">
        <v>378</v>
      </c>
      <c r="D154" s="4" t="s">
        <v>379</v>
      </c>
      <c r="E154" s="4" t="s">
        <v>214</v>
      </c>
      <c r="F154" s="4" t="s">
        <v>215</v>
      </c>
      <c r="G154" s="4" t="s">
        <v>42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6" t="s">
        <v>53</v>
      </c>
      <c r="AJ154" s="7">
        <v>1</v>
      </c>
    </row>
    <row r="155" spans="1:36" hidden="1" x14ac:dyDescent="0.3">
      <c r="A155" s="4" t="s">
        <v>36</v>
      </c>
      <c r="B155" s="4" t="s">
        <v>37</v>
      </c>
      <c r="C155" s="4" t="s">
        <v>380</v>
      </c>
      <c r="D155" s="4" t="s">
        <v>381</v>
      </c>
      <c r="E155" s="4" t="s">
        <v>214</v>
      </c>
      <c r="F155" s="4" t="s">
        <v>215</v>
      </c>
      <c r="G155" s="4" t="s">
        <v>42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1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6" t="s">
        <v>53</v>
      </c>
      <c r="AJ155" s="7">
        <v>1</v>
      </c>
    </row>
    <row r="156" spans="1:36" hidden="1" x14ac:dyDescent="0.3">
      <c r="A156" s="4" t="s">
        <v>36</v>
      </c>
      <c r="B156" s="4" t="s">
        <v>37</v>
      </c>
      <c r="C156" s="4" t="s">
        <v>382</v>
      </c>
      <c r="D156" s="4" t="s">
        <v>383</v>
      </c>
      <c r="E156" s="4" t="s">
        <v>46</v>
      </c>
      <c r="F156" s="4" t="s">
        <v>80</v>
      </c>
      <c r="G156" s="4" t="s">
        <v>64</v>
      </c>
      <c r="H156" s="5">
        <v>0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1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1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6" t="s">
        <v>53</v>
      </c>
      <c r="AJ156" s="7">
        <v>3</v>
      </c>
    </row>
    <row r="157" spans="1:36" hidden="1" x14ac:dyDescent="0.3">
      <c r="A157" s="4" t="s">
        <v>36</v>
      </c>
      <c r="B157" s="4" t="s">
        <v>37</v>
      </c>
      <c r="C157" s="4" t="s">
        <v>384</v>
      </c>
      <c r="D157" s="4" t="s">
        <v>385</v>
      </c>
      <c r="E157" s="4" t="s">
        <v>46</v>
      </c>
      <c r="F157" s="4" t="s">
        <v>80</v>
      </c>
      <c r="G157" s="4" t="s">
        <v>64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1</v>
      </c>
      <c r="AI157" s="6" t="s">
        <v>43</v>
      </c>
      <c r="AJ157" s="7">
        <v>2</v>
      </c>
    </row>
    <row r="158" spans="1:36" hidden="1" x14ac:dyDescent="0.3">
      <c r="A158" s="4" t="s">
        <v>36</v>
      </c>
      <c r="B158" s="4" t="s">
        <v>37</v>
      </c>
      <c r="C158" s="4" t="s">
        <v>386</v>
      </c>
      <c r="D158" s="4" t="s">
        <v>387</v>
      </c>
      <c r="E158" s="4" t="s">
        <v>46</v>
      </c>
      <c r="F158" s="4" t="s">
        <v>168</v>
      </c>
      <c r="G158" s="4" t="s">
        <v>52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6" t="s">
        <v>43</v>
      </c>
      <c r="AJ158" s="7">
        <v>0</v>
      </c>
    </row>
    <row r="159" spans="1:36" hidden="1" x14ac:dyDescent="0.3">
      <c r="A159" s="4" t="s">
        <v>36</v>
      </c>
      <c r="B159" s="4" t="s">
        <v>37</v>
      </c>
      <c r="C159" s="4" t="s">
        <v>388</v>
      </c>
      <c r="D159" s="4" t="s">
        <v>389</v>
      </c>
      <c r="E159" s="4" t="s">
        <v>214</v>
      </c>
      <c r="F159" s="4" t="s">
        <v>215</v>
      </c>
      <c r="G159" s="4" t="s">
        <v>42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6" t="s">
        <v>53</v>
      </c>
      <c r="AJ159" s="7">
        <v>1</v>
      </c>
    </row>
    <row r="160" spans="1:36" hidden="1" x14ac:dyDescent="0.3">
      <c r="A160" s="4" t="s">
        <v>36</v>
      </c>
      <c r="B160" s="4" t="s">
        <v>37</v>
      </c>
      <c r="C160" s="4" t="s">
        <v>390</v>
      </c>
      <c r="D160" s="4" t="s">
        <v>391</v>
      </c>
      <c r="E160" s="4" t="s">
        <v>214</v>
      </c>
      <c r="F160" s="4" t="s">
        <v>215</v>
      </c>
      <c r="G160" s="4" t="s">
        <v>42</v>
      </c>
      <c r="H160" s="5">
        <v>1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6" t="s">
        <v>53</v>
      </c>
      <c r="AJ160" s="7">
        <v>1</v>
      </c>
    </row>
    <row r="161" spans="1:36" hidden="1" x14ac:dyDescent="0.3">
      <c r="A161" s="4" t="s">
        <v>36</v>
      </c>
      <c r="B161" s="4" t="s">
        <v>37</v>
      </c>
      <c r="C161" s="4" t="s">
        <v>392</v>
      </c>
      <c r="D161" s="4" t="s">
        <v>393</v>
      </c>
      <c r="E161" s="4" t="s">
        <v>46</v>
      </c>
      <c r="F161" s="4" t="s">
        <v>83</v>
      </c>
      <c r="G161" s="4" t="s">
        <v>52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1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6" t="s">
        <v>53</v>
      </c>
      <c r="AJ161" s="7">
        <v>2</v>
      </c>
    </row>
    <row r="162" spans="1:36" hidden="1" x14ac:dyDescent="0.3">
      <c r="A162" s="4" t="s">
        <v>36</v>
      </c>
      <c r="B162" s="4" t="s">
        <v>37</v>
      </c>
      <c r="C162" s="4" t="s">
        <v>395</v>
      </c>
      <c r="D162" s="4" t="s">
        <v>396</v>
      </c>
      <c r="E162" s="4" t="s">
        <v>46</v>
      </c>
      <c r="F162" s="4" t="s">
        <v>72</v>
      </c>
      <c r="G162" s="4" t="s">
        <v>52</v>
      </c>
      <c r="H162" s="5">
        <v>1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1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6" t="s">
        <v>53</v>
      </c>
      <c r="AJ162" s="7">
        <v>2</v>
      </c>
    </row>
    <row r="163" spans="1:36" hidden="1" x14ac:dyDescent="0.3">
      <c r="A163" s="4" t="s">
        <v>36</v>
      </c>
      <c r="B163" s="4" t="s">
        <v>37</v>
      </c>
      <c r="C163" s="4" t="s">
        <v>397</v>
      </c>
      <c r="D163" s="4" t="s">
        <v>398</v>
      </c>
      <c r="E163" s="4" t="s">
        <v>46</v>
      </c>
      <c r="F163" s="4" t="s">
        <v>168</v>
      </c>
      <c r="G163" s="4" t="s">
        <v>52</v>
      </c>
      <c r="H163" s="5">
        <v>1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1</v>
      </c>
      <c r="O163" s="5">
        <v>0</v>
      </c>
      <c r="P163" s="5">
        <v>0</v>
      </c>
      <c r="Q163" s="5">
        <v>1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6" t="s">
        <v>53</v>
      </c>
      <c r="AJ163" s="7">
        <v>3</v>
      </c>
    </row>
    <row r="164" spans="1:36" hidden="1" x14ac:dyDescent="0.3">
      <c r="A164" s="4" t="s">
        <v>36</v>
      </c>
      <c r="B164" s="4" t="s">
        <v>37</v>
      </c>
      <c r="C164" s="4" t="s">
        <v>399</v>
      </c>
      <c r="D164" s="4" t="s">
        <v>400</v>
      </c>
      <c r="E164" s="4" t="s">
        <v>46</v>
      </c>
      <c r="F164" s="4" t="s">
        <v>59</v>
      </c>
      <c r="G164" s="4" t="s">
        <v>60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1</v>
      </c>
      <c r="AF164" s="5">
        <v>0</v>
      </c>
      <c r="AG164" s="5">
        <v>0</v>
      </c>
      <c r="AH164" s="5">
        <v>0</v>
      </c>
      <c r="AI164" s="6" t="s">
        <v>53</v>
      </c>
      <c r="AJ164" s="7">
        <v>1</v>
      </c>
    </row>
    <row r="165" spans="1:36" hidden="1" x14ac:dyDescent="0.3">
      <c r="A165" s="4" t="s">
        <v>36</v>
      </c>
      <c r="B165" s="4" t="s">
        <v>37</v>
      </c>
      <c r="C165" s="4" t="s">
        <v>401</v>
      </c>
      <c r="D165" s="4" t="s">
        <v>402</v>
      </c>
      <c r="E165" s="4" t="s">
        <v>46</v>
      </c>
      <c r="F165" s="4" t="s">
        <v>86</v>
      </c>
      <c r="G165" s="4" t="s">
        <v>42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1</v>
      </c>
      <c r="V165" s="5">
        <v>0</v>
      </c>
      <c r="W165" s="5">
        <v>1</v>
      </c>
      <c r="X165" s="5">
        <v>0</v>
      </c>
      <c r="Y165" s="5">
        <v>0</v>
      </c>
      <c r="Z165" s="5">
        <v>0</v>
      </c>
      <c r="AA165" s="5">
        <v>0</v>
      </c>
      <c r="AB165" s="5">
        <v>1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6" t="s">
        <v>53</v>
      </c>
      <c r="AJ165" s="7">
        <v>4</v>
      </c>
    </row>
    <row r="166" spans="1:36" hidden="1" x14ac:dyDescent="0.3">
      <c r="A166" s="4" t="s">
        <v>36</v>
      </c>
      <c r="B166" s="4" t="s">
        <v>37</v>
      </c>
      <c r="C166" s="4" t="s">
        <v>403</v>
      </c>
      <c r="D166" s="4" t="s">
        <v>404</v>
      </c>
      <c r="E166" s="4" t="s">
        <v>46</v>
      </c>
      <c r="F166" s="4" t="s">
        <v>63</v>
      </c>
      <c r="G166" s="4" t="s">
        <v>64</v>
      </c>
      <c r="H166" s="5">
        <v>1</v>
      </c>
      <c r="I166" s="5">
        <v>1</v>
      </c>
      <c r="J166" s="5">
        <v>1</v>
      </c>
      <c r="K166" s="5">
        <v>0</v>
      </c>
      <c r="L166" s="5">
        <v>0</v>
      </c>
      <c r="M166" s="5">
        <v>1</v>
      </c>
      <c r="N166" s="5">
        <v>1</v>
      </c>
      <c r="O166" s="5">
        <v>0</v>
      </c>
      <c r="P166" s="5">
        <v>0</v>
      </c>
      <c r="Q166" s="5">
        <v>1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6" t="s">
        <v>43</v>
      </c>
      <c r="AJ166" s="7">
        <v>6</v>
      </c>
    </row>
    <row r="167" spans="1:36" hidden="1" x14ac:dyDescent="0.3">
      <c r="A167" s="4" t="s">
        <v>36</v>
      </c>
      <c r="B167" s="4" t="s">
        <v>37</v>
      </c>
      <c r="C167" s="4" t="s">
        <v>406</v>
      </c>
      <c r="D167" s="4" t="s">
        <v>407</v>
      </c>
      <c r="E167" s="4" t="s">
        <v>46</v>
      </c>
      <c r="F167" s="4" t="s">
        <v>93</v>
      </c>
      <c r="G167" s="4" t="s">
        <v>42</v>
      </c>
      <c r="H167" s="5">
        <v>1</v>
      </c>
      <c r="I167" s="5">
        <v>0</v>
      </c>
      <c r="J167" s="5">
        <v>0</v>
      </c>
      <c r="K167" s="5">
        <v>0</v>
      </c>
      <c r="L167" s="5">
        <v>0</v>
      </c>
      <c r="M167" s="5">
        <v>1</v>
      </c>
      <c r="N167" s="5">
        <v>1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1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6" t="s">
        <v>53</v>
      </c>
      <c r="AJ167" s="7">
        <v>4</v>
      </c>
    </row>
    <row r="168" spans="1:36" hidden="1" x14ac:dyDescent="0.3">
      <c r="A168" s="4" t="s">
        <v>36</v>
      </c>
      <c r="B168" s="4" t="s">
        <v>37</v>
      </c>
      <c r="C168" s="4" t="s">
        <v>408</v>
      </c>
      <c r="D168" s="4" t="s">
        <v>409</v>
      </c>
      <c r="E168" s="4" t="s">
        <v>46</v>
      </c>
      <c r="F168" s="4" t="s">
        <v>140</v>
      </c>
      <c r="G168" s="4" t="s">
        <v>42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6" t="s">
        <v>53</v>
      </c>
      <c r="AJ168" s="7">
        <v>0</v>
      </c>
    </row>
    <row r="169" spans="1:36" hidden="1" x14ac:dyDescent="0.3">
      <c r="A169" s="4" t="s">
        <v>36</v>
      </c>
      <c r="B169" s="4" t="s">
        <v>37</v>
      </c>
      <c r="C169" s="4" t="s">
        <v>410</v>
      </c>
      <c r="D169" s="4" t="s">
        <v>411</v>
      </c>
      <c r="E169" s="4" t="s">
        <v>46</v>
      </c>
      <c r="F169" s="4" t="s">
        <v>125</v>
      </c>
      <c r="G169" s="4" t="s">
        <v>60</v>
      </c>
      <c r="H169" s="5">
        <v>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5">
        <v>1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1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6" t="s">
        <v>43</v>
      </c>
      <c r="AJ169" s="7">
        <v>4</v>
      </c>
    </row>
    <row r="170" spans="1:36" hidden="1" x14ac:dyDescent="0.3">
      <c r="A170" s="4" t="s">
        <v>36</v>
      </c>
      <c r="B170" s="4" t="s">
        <v>37</v>
      </c>
      <c r="C170" s="4" t="s">
        <v>412</v>
      </c>
      <c r="D170" s="4" t="s">
        <v>413</v>
      </c>
      <c r="E170" s="4" t="s">
        <v>46</v>
      </c>
      <c r="F170" s="4" t="s">
        <v>77</v>
      </c>
      <c r="G170" s="4" t="s">
        <v>52</v>
      </c>
      <c r="H170" s="5">
        <v>1</v>
      </c>
      <c r="I170" s="5">
        <v>1</v>
      </c>
      <c r="J170" s="5">
        <v>1</v>
      </c>
      <c r="K170" s="5">
        <v>0</v>
      </c>
      <c r="L170" s="5">
        <v>0</v>
      </c>
      <c r="M170" s="5">
        <v>1</v>
      </c>
      <c r="N170" s="5">
        <v>0</v>
      </c>
      <c r="O170" s="5">
        <v>1</v>
      </c>
      <c r="P170" s="5">
        <v>0</v>
      </c>
      <c r="Q170" s="5">
        <v>1</v>
      </c>
      <c r="R170" s="5">
        <v>0</v>
      </c>
      <c r="S170" s="5">
        <v>0</v>
      </c>
      <c r="T170" s="5">
        <v>0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1</v>
      </c>
      <c r="AC170" s="5">
        <v>0</v>
      </c>
      <c r="AD170" s="5">
        <v>0</v>
      </c>
      <c r="AE170" s="5">
        <v>1</v>
      </c>
      <c r="AF170" s="5">
        <v>0</v>
      </c>
      <c r="AG170" s="5">
        <v>0</v>
      </c>
      <c r="AH170" s="5">
        <v>0</v>
      </c>
      <c r="AI170" s="6" t="s">
        <v>43</v>
      </c>
      <c r="AJ170" s="7">
        <v>9</v>
      </c>
    </row>
    <row r="171" spans="1:36" hidden="1" x14ac:dyDescent="0.3">
      <c r="A171" s="4" t="s">
        <v>36</v>
      </c>
      <c r="B171" s="4" t="s">
        <v>37</v>
      </c>
      <c r="C171" s="4" t="s">
        <v>414</v>
      </c>
      <c r="D171" s="4" t="s">
        <v>415</v>
      </c>
      <c r="E171" s="4" t="s">
        <v>46</v>
      </c>
      <c r="F171" s="4" t="s">
        <v>72</v>
      </c>
      <c r="G171" s="4" t="s">
        <v>52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1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1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6" t="s">
        <v>53</v>
      </c>
      <c r="AJ171" s="7">
        <v>2</v>
      </c>
    </row>
    <row r="172" spans="1:36" hidden="1" x14ac:dyDescent="0.3">
      <c r="A172" s="4" t="s">
        <v>36</v>
      </c>
      <c r="B172" s="4" t="s">
        <v>37</v>
      </c>
      <c r="C172" s="4" t="s">
        <v>416</v>
      </c>
      <c r="D172" s="4" t="s">
        <v>417</v>
      </c>
      <c r="E172" s="4" t="s">
        <v>46</v>
      </c>
      <c r="F172" s="4" t="s">
        <v>59</v>
      </c>
      <c r="G172" s="4" t="s">
        <v>60</v>
      </c>
      <c r="H172" s="5">
        <v>1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6" t="s">
        <v>53</v>
      </c>
      <c r="AJ172" s="7">
        <v>1</v>
      </c>
    </row>
    <row r="173" spans="1:36" hidden="1" x14ac:dyDescent="0.3">
      <c r="A173" s="4" t="s">
        <v>36</v>
      </c>
      <c r="B173" s="4" t="s">
        <v>37</v>
      </c>
      <c r="C173" s="4" t="s">
        <v>418</v>
      </c>
      <c r="D173" s="4" t="s">
        <v>419</v>
      </c>
      <c r="E173" s="4" t="s">
        <v>46</v>
      </c>
      <c r="F173" s="4" t="s">
        <v>168</v>
      </c>
      <c r="G173" s="4" t="s">
        <v>52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1</v>
      </c>
      <c r="AF173" s="5">
        <v>0</v>
      </c>
      <c r="AG173" s="5">
        <v>0</v>
      </c>
      <c r="AH173" s="5">
        <v>0</v>
      </c>
      <c r="AI173" s="6" t="s">
        <v>53</v>
      </c>
      <c r="AJ173" s="7">
        <v>2</v>
      </c>
    </row>
    <row r="174" spans="1:36" hidden="1" x14ac:dyDescent="0.3">
      <c r="A174" s="4" t="s">
        <v>36</v>
      </c>
      <c r="B174" s="4" t="s">
        <v>37</v>
      </c>
      <c r="C174" s="4" t="s">
        <v>420</v>
      </c>
      <c r="D174" s="4" t="s">
        <v>421</v>
      </c>
      <c r="E174" s="4" t="s">
        <v>46</v>
      </c>
      <c r="F174" s="4" t="s">
        <v>72</v>
      </c>
      <c r="G174" s="4" t="s">
        <v>52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6" t="s">
        <v>43</v>
      </c>
      <c r="AJ174" s="7">
        <v>1</v>
      </c>
    </row>
    <row r="175" spans="1:36" hidden="1" x14ac:dyDescent="0.3">
      <c r="A175" s="4" t="s">
        <v>36</v>
      </c>
      <c r="B175" s="4" t="s">
        <v>37</v>
      </c>
      <c r="C175" s="4" t="s">
        <v>422</v>
      </c>
      <c r="D175" s="4" t="s">
        <v>423</v>
      </c>
      <c r="E175" s="4" t="s">
        <v>46</v>
      </c>
      <c r="F175" s="4" t="s">
        <v>51</v>
      </c>
      <c r="G175" s="4" t="s">
        <v>52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1</v>
      </c>
      <c r="P175" s="5">
        <v>0</v>
      </c>
      <c r="Q175" s="5">
        <v>1</v>
      </c>
      <c r="R175" s="5">
        <v>0</v>
      </c>
      <c r="S175" s="5">
        <v>0</v>
      </c>
      <c r="T175" s="5">
        <v>0</v>
      </c>
      <c r="U175" s="5">
        <v>1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6" t="s">
        <v>53</v>
      </c>
      <c r="AJ175" s="7">
        <v>4</v>
      </c>
    </row>
    <row r="176" spans="1:36" hidden="1" x14ac:dyDescent="0.3">
      <c r="A176" s="4" t="s">
        <v>36</v>
      </c>
      <c r="B176" s="4" t="s">
        <v>37</v>
      </c>
      <c r="C176" s="4" t="s">
        <v>424</v>
      </c>
      <c r="D176" s="4" t="s">
        <v>425</v>
      </c>
      <c r="E176" s="4" t="s">
        <v>46</v>
      </c>
      <c r="F176" s="4" t="s">
        <v>77</v>
      </c>
      <c r="G176" s="4" t="s">
        <v>52</v>
      </c>
      <c r="H176" s="5">
        <v>0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5">
        <v>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1</v>
      </c>
      <c r="V176" s="5">
        <v>0</v>
      </c>
      <c r="W176" s="5">
        <v>0</v>
      </c>
      <c r="X176" s="5">
        <v>1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6" t="s">
        <v>53</v>
      </c>
      <c r="AJ176" s="7">
        <v>4</v>
      </c>
    </row>
    <row r="177" spans="1:36" hidden="1" x14ac:dyDescent="0.3">
      <c r="A177" s="4" t="s">
        <v>36</v>
      </c>
      <c r="B177" s="4" t="s">
        <v>37</v>
      </c>
      <c r="C177" s="4" t="s">
        <v>426</v>
      </c>
      <c r="D177" s="4" t="s">
        <v>427</v>
      </c>
      <c r="E177" s="4" t="s">
        <v>46</v>
      </c>
      <c r="F177" s="4" t="s">
        <v>96</v>
      </c>
      <c r="G177" s="4" t="s">
        <v>64</v>
      </c>
      <c r="H177" s="5">
        <v>1</v>
      </c>
      <c r="I177" s="5">
        <v>1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0</v>
      </c>
      <c r="P177" s="5">
        <v>0</v>
      </c>
      <c r="Q177" s="5">
        <v>1</v>
      </c>
      <c r="R177" s="5">
        <v>0</v>
      </c>
      <c r="S177" s="5">
        <v>1</v>
      </c>
      <c r="T177" s="5">
        <v>0</v>
      </c>
      <c r="U177" s="5">
        <v>1</v>
      </c>
      <c r="V177" s="5">
        <v>0</v>
      </c>
      <c r="W177" s="5">
        <v>0</v>
      </c>
      <c r="X177" s="5">
        <v>1</v>
      </c>
      <c r="Y177" s="5">
        <v>0</v>
      </c>
      <c r="Z177" s="5">
        <v>0</v>
      </c>
      <c r="AA177" s="5">
        <v>0</v>
      </c>
      <c r="AB177" s="5">
        <v>1</v>
      </c>
      <c r="AC177" s="5">
        <v>0</v>
      </c>
      <c r="AD177" s="5">
        <v>0</v>
      </c>
      <c r="AE177" s="5">
        <v>0</v>
      </c>
      <c r="AF177" s="5">
        <v>1</v>
      </c>
      <c r="AG177" s="5">
        <v>0</v>
      </c>
      <c r="AH177" s="5">
        <v>0</v>
      </c>
      <c r="AI177" s="6" t="s">
        <v>43</v>
      </c>
      <c r="AJ177" s="7">
        <v>13</v>
      </c>
    </row>
    <row r="178" spans="1:36" hidden="1" x14ac:dyDescent="0.3">
      <c r="A178" s="4" t="s">
        <v>36</v>
      </c>
      <c r="B178" s="4" t="s">
        <v>37</v>
      </c>
      <c r="C178" s="4" t="s">
        <v>428</v>
      </c>
      <c r="D178" s="4" t="s">
        <v>429</v>
      </c>
      <c r="E178" s="4" t="s">
        <v>214</v>
      </c>
      <c r="F178" s="4" t="s">
        <v>215</v>
      </c>
      <c r="G178" s="4" t="s">
        <v>42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6" t="s">
        <v>53</v>
      </c>
      <c r="AJ178" s="7">
        <v>1</v>
      </c>
    </row>
    <row r="179" spans="1:36" hidden="1" x14ac:dyDescent="0.3">
      <c r="A179" s="4" t="s">
        <v>36</v>
      </c>
      <c r="B179" s="4" t="s">
        <v>37</v>
      </c>
      <c r="C179" s="4" t="s">
        <v>430</v>
      </c>
      <c r="D179" s="4" t="s">
        <v>431</v>
      </c>
      <c r="E179" s="4" t="s">
        <v>46</v>
      </c>
      <c r="F179" s="4" t="s">
        <v>59</v>
      </c>
      <c r="G179" s="4" t="s">
        <v>60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1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6" t="s">
        <v>53</v>
      </c>
      <c r="AJ179" s="7">
        <v>1</v>
      </c>
    </row>
    <row r="180" spans="1:36" hidden="1" x14ac:dyDescent="0.3">
      <c r="A180" s="4" t="s">
        <v>36</v>
      </c>
      <c r="B180" s="4" t="s">
        <v>37</v>
      </c>
      <c r="C180" s="4" t="s">
        <v>432</v>
      </c>
      <c r="D180" s="4" t="s">
        <v>433</v>
      </c>
      <c r="E180" s="4" t="s">
        <v>46</v>
      </c>
      <c r="F180" s="4" t="s">
        <v>168</v>
      </c>
      <c r="G180" s="4" t="s">
        <v>52</v>
      </c>
      <c r="H180" s="5">
        <v>1</v>
      </c>
      <c r="I180" s="5">
        <v>1</v>
      </c>
      <c r="J180" s="5">
        <v>0</v>
      </c>
      <c r="K180" s="5">
        <v>0</v>
      </c>
      <c r="L180" s="5">
        <v>0</v>
      </c>
      <c r="M180" s="5">
        <v>0</v>
      </c>
      <c r="N180" s="5">
        <v>1</v>
      </c>
      <c r="O180" s="5">
        <v>1</v>
      </c>
      <c r="P180" s="5">
        <v>1</v>
      </c>
      <c r="Q180" s="5">
        <v>0</v>
      </c>
      <c r="R180" s="5">
        <v>0</v>
      </c>
      <c r="S180" s="5">
        <v>1</v>
      </c>
      <c r="T180" s="5">
        <v>0</v>
      </c>
      <c r="U180" s="5">
        <v>1</v>
      </c>
      <c r="V180" s="5">
        <v>1</v>
      </c>
      <c r="W180" s="5">
        <v>0</v>
      </c>
      <c r="X180" s="5">
        <v>1</v>
      </c>
      <c r="Y180" s="5">
        <v>0</v>
      </c>
      <c r="Z180" s="5">
        <v>0</v>
      </c>
      <c r="AA180" s="5">
        <v>0</v>
      </c>
      <c r="AB180" s="5">
        <v>1</v>
      </c>
      <c r="AC180" s="5">
        <v>0</v>
      </c>
      <c r="AD180" s="5">
        <v>0</v>
      </c>
      <c r="AE180" s="5">
        <v>1</v>
      </c>
      <c r="AF180" s="5">
        <v>0</v>
      </c>
      <c r="AG180" s="5">
        <v>0</v>
      </c>
      <c r="AH180" s="5">
        <v>0</v>
      </c>
      <c r="AI180" s="6" t="s">
        <v>43</v>
      </c>
      <c r="AJ180" s="7">
        <v>11</v>
      </c>
    </row>
    <row r="181" spans="1:36" hidden="1" x14ac:dyDescent="0.3">
      <c r="A181" s="4" t="s">
        <v>36</v>
      </c>
      <c r="B181" s="4" t="s">
        <v>37</v>
      </c>
      <c r="C181" s="4" t="s">
        <v>434</v>
      </c>
      <c r="D181" s="4" t="s">
        <v>435</v>
      </c>
      <c r="E181" s="4" t="s">
        <v>46</v>
      </c>
      <c r="F181" s="4" t="s">
        <v>140</v>
      </c>
      <c r="G181" s="4" t="s">
        <v>42</v>
      </c>
      <c r="H181" s="5">
        <v>0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6" t="s">
        <v>53</v>
      </c>
      <c r="AJ181" s="7">
        <v>1</v>
      </c>
    </row>
    <row r="182" spans="1:36" hidden="1" x14ac:dyDescent="0.3">
      <c r="A182" s="4" t="s">
        <v>36</v>
      </c>
      <c r="B182" s="4" t="s">
        <v>37</v>
      </c>
      <c r="C182" s="4" t="s">
        <v>436</v>
      </c>
      <c r="D182" s="4" t="s">
        <v>437</v>
      </c>
      <c r="E182" s="4" t="s">
        <v>46</v>
      </c>
      <c r="F182" s="4" t="s">
        <v>59</v>
      </c>
      <c r="G182" s="4" t="s">
        <v>60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1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6" t="s">
        <v>53</v>
      </c>
      <c r="AJ182" s="7">
        <v>1</v>
      </c>
    </row>
    <row r="183" spans="1:36" hidden="1" x14ac:dyDescent="0.3">
      <c r="A183" s="4" t="s">
        <v>36</v>
      </c>
      <c r="B183" s="4" t="s">
        <v>37</v>
      </c>
      <c r="C183" s="4" t="s">
        <v>438</v>
      </c>
      <c r="D183" s="4" t="s">
        <v>439</v>
      </c>
      <c r="E183" s="4" t="s">
        <v>46</v>
      </c>
      <c r="F183" s="4" t="s">
        <v>168</v>
      </c>
      <c r="G183" s="4" t="s">
        <v>52</v>
      </c>
      <c r="H183" s="5">
        <v>1</v>
      </c>
      <c r="I183" s="5">
        <v>1</v>
      </c>
      <c r="J183" s="5">
        <v>1</v>
      </c>
      <c r="K183" s="5">
        <v>1</v>
      </c>
      <c r="L183" s="5">
        <v>0</v>
      </c>
      <c r="M183" s="5">
        <v>0</v>
      </c>
      <c r="N183" s="5">
        <v>1</v>
      </c>
      <c r="O183" s="5">
        <v>1</v>
      </c>
      <c r="P183" s="5">
        <v>0</v>
      </c>
      <c r="Q183" s="5">
        <v>1</v>
      </c>
      <c r="R183" s="5">
        <v>0</v>
      </c>
      <c r="S183" s="5">
        <v>0</v>
      </c>
      <c r="T183" s="5">
        <v>1</v>
      </c>
      <c r="U183" s="5">
        <v>1</v>
      </c>
      <c r="V183" s="5">
        <v>0</v>
      </c>
      <c r="W183" s="5">
        <v>1</v>
      </c>
      <c r="X183" s="5">
        <v>0</v>
      </c>
      <c r="Y183" s="5">
        <v>0</v>
      </c>
      <c r="Z183" s="5">
        <v>0</v>
      </c>
      <c r="AA183" s="5">
        <v>0</v>
      </c>
      <c r="AB183" s="5">
        <v>1</v>
      </c>
      <c r="AC183" s="5">
        <v>0</v>
      </c>
      <c r="AD183" s="5">
        <v>0</v>
      </c>
      <c r="AE183" s="5">
        <v>1</v>
      </c>
      <c r="AF183" s="5">
        <v>0</v>
      </c>
      <c r="AG183" s="5">
        <v>1</v>
      </c>
      <c r="AH183" s="5">
        <v>1</v>
      </c>
      <c r="AI183" s="6" t="s">
        <v>43</v>
      </c>
      <c r="AJ183" s="7">
        <v>14</v>
      </c>
    </row>
    <row r="184" spans="1:36" hidden="1" x14ac:dyDescent="0.3">
      <c r="A184" s="4" t="s">
        <v>36</v>
      </c>
      <c r="B184" s="4" t="s">
        <v>37</v>
      </c>
      <c r="C184" s="4" t="s">
        <v>440</v>
      </c>
      <c r="D184" s="4" t="s">
        <v>441</v>
      </c>
      <c r="E184" s="4" t="s">
        <v>46</v>
      </c>
      <c r="F184" s="4" t="s">
        <v>165</v>
      </c>
      <c r="G184" s="4" t="s">
        <v>64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6" t="s">
        <v>53</v>
      </c>
      <c r="AJ184" s="7">
        <v>0</v>
      </c>
    </row>
    <row r="185" spans="1:36" hidden="1" x14ac:dyDescent="0.3">
      <c r="A185" s="4" t="s">
        <v>36</v>
      </c>
      <c r="B185" s="4" t="s">
        <v>37</v>
      </c>
      <c r="C185" s="4" t="s">
        <v>442</v>
      </c>
      <c r="D185" s="4" t="s">
        <v>443</v>
      </c>
      <c r="E185" s="4" t="s">
        <v>46</v>
      </c>
      <c r="F185" s="4" t="s">
        <v>59</v>
      </c>
      <c r="G185" s="4" t="s">
        <v>60</v>
      </c>
      <c r="H185" s="5">
        <v>1</v>
      </c>
      <c r="I185" s="5">
        <v>1</v>
      </c>
      <c r="J185" s="5">
        <v>0</v>
      </c>
      <c r="K185" s="5">
        <v>0</v>
      </c>
      <c r="L185" s="5">
        <v>1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1</v>
      </c>
      <c r="AH185" s="5">
        <v>0</v>
      </c>
      <c r="AI185" s="6" t="s">
        <v>53</v>
      </c>
      <c r="AJ185" s="7">
        <v>5</v>
      </c>
    </row>
    <row r="186" spans="1:36" hidden="1" x14ac:dyDescent="0.3">
      <c r="A186" s="4" t="s">
        <v>36</v>
      </c>
      <c r="B186" s="4" t="s">
        <v>37</v>
      </c>
      <c r="C186" s="4" t="s">
        <v>444</v>
      </c>
      <c r="D186" s="4" t="s">
        <v>445</v>
      </c>
      <c r="E186" s="4" t="s">
        <v>46</v>
      </c>
      <c r="F186" s="4" t="s">
        <v>63</v>
      </c>
      <c r="G186" s="4" t="s">
        <v>64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</v>
      </c>
      <c r="U186" s="5">
        <v>1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1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6" t="s">
        <v>53</v>
      </c>
      <c r="AJ186" s="7">
        <v>4</v>
      </c>
    </row>
    <row r="187" spans="1:36" hidden="1" x14ac:dyDescent="0.3">
      <c r="A187" s="4" t="s">
        <v>36</v>
      </c>
      <c r="B187" s="4" t="s">
        <v>37</v>
      </c>
      <c r="C187" s="4" t="s">
        <v>446</v>
      </c>
      <c r="D187" s="4" t="s">
        <v>447</v>
      </c>
      <c r="E187" s="4" t="s">
        <v>46</v>
      </c>
      <c r="F187" s="4" t="s">
        <v>125</v>
      </c>
      <c r="G187" s="4" t="s">
        <v>60</v>
      </c>
      <c r="H187" s="5">
        <v>1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6" t="s">
        <v>53</v>
      </c>
      <c r="AJ187" s="7">
        <v>1</v>
      </c>
    </row>
    <row r="188" spans="1:36" hidden="1" x14ac:dyDescent="0.3">
      <c r="A188" s="4" t="s">
        <v>36</v>
      </c>
      <c r="B188" s="4" t="s">
        <v>37</v>
      </c>
      <c r="C188" s="4" t="s">
        <v>448</v>
      </c>
      <c r="D188" s="4" t="s">
        <v>449</v>
      </c>
      <c r="E188" s="4" t="s">
        <v>46</v>
      </c>
      <c r="F188" s="4" t="s">
        <v>165</v>
      </c>
      <c r="G188" s="4" t="s">
        <v>64</v>
      </c>
      <c r="H188" s="5">
        <v>1</v>
      </c>
      <c r="I188" s="5">
        <v>1</v>
      </c>
      <c r="J188" s="5">
        <v>1</v>
      </c>
      <c r="K188" s="5">
        <v>0</v>
      </c>
      <c r="L188" s="5">
        <v>1</v>
      </c>
      <c r="M188" s="5">
        <v>0</v>
      </c>
      <c r="N188" s="5">
        <v>1</v>
      </c>
      <c r="O188" s="5">
        <v>1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6" t="s">
        <v>43</v>
      </c>
      <c r="AJ188" s="7">
        <v>6</v>
      </c>
    </row>
    <row r="189" spans="1:36" hidden="1" x14ac:dyDescent="0.3">
      <c r="A189" s="4" t="s">
        <v>36</v>
      </c>
      <c r="B189" s="4" t="s">
        <v>37</v>
      </c>
      <c r="C189" s="4" t="s">
        <v>450</v>
      </c>
      <c r="D189" s="4" t="s">
        <v>451</v>
      </c>
      <c r="E189" s="4" t="s">
        <v>46</v>
      </c>
      <c r="F189" s="4" t="s">
        <v>125</v>
      </c>
      <c r="G189" s="4" t="s">
        <v>60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1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6" t="s">
        <v>43</v>
      </c>
      <c r="AJ189" s="7">
        <v>3</v>
      </c>
    </row>
    <row r="190" spans="1:36" hidden="1" x14ac:dyDescent="0.3">
      <c r="A190" s="4" t="s">
        <v>36</v>
      </c>
      <c r="B190" s="4" t="s">
        <v>37</v>
      </c>
      <c r="C190" s="4" t="s">
        <v>452</v>
      </c>
      <c r="D190" s="4" t="s">
        <v>453</v>
      </c>
      <c r="E190" s="4" t="s">
        <v>46</v>
      </c>
      <c r="F190" s="4" t="s">
        <v>96</v>
      </c>
      <c r="G190" s="4" t="s">
        <v>64</v>
      </c>
      <c r="H190" s="5">
        <v>1</v>
      </c>
      <c r="I190" s="5">
        <v>1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6" t="s">
        <v>53</v>
      </c>
      <c r="AJ190" s="7">
        <v>2</v>
      </c>
    </row>
    <row r="191" spans="1:36" hidden="1" x14ac:dyDescent="0.3">
      <c r="A191" s="4" t="s">
        <v>36</v>
      </c>
      <c r="B191" s="4" t="s">
        <v>37</v>
      </c>
      <c r="C191" s="4" t="s">
        <v>454</v>
      </c>
      <c r="D191" s="4" t="s">
        <v>455</v>
      </c>
      <c r="E191" s="4" t="s">
        <v>46</v>
      </c>
      <c r="F191" s="4" t="s">
        <v>83</v>
      </c>
      <c r="G191" s="4" t="s">
        <v>52</v>
      </c>
      <c r="H191" s="5">
        <v>0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1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6" t="s">
        <v>43</v>
      </c>
      <c r="AJ191" s="7">
        <v>2</v>
      </c>
    </row>
    <row r="192" spans="1:36" hidden="1" x14ac:dyDescent="0.3">
      <c r="A192" s="4" t="s">
        <v>36</v>
      </c>
      <c r="B192" s="4" t="s">
        <v>37</v>
      </c>
      <c r="C192" s="4" t="s">
        <v>456</v>
      </c>
      <c r="D192" s="4" t="s">
        <v>457</v>
      </c>
      <c r="E192" s="4" t="s">
        <v>46</v>
      </c>
      <c r="F192" s="4" t="s">
        <v>96</v>
      </c>
      <c r="G192" s="4" t="s">
        <v>64</v>
      </c>
      <c r="H192" s="5">
        <v>1</v>
      </c>
      <c r="I192" s="5">
        <v>0</v>
      </c>
      <c r="J192" s="5">
        <v>0</v>
      </c>
      <c r="K192" s="5">
        <v>0</v>
      </c>
      <c r="L192" s="5">
        <v>1</v>
      </c>
      <c r="M192" s="5">
        <v>0</v>
      </c>
      <c r="N192" s="5">
        <v>1</v>
      </c>
      <c r="O192" s="5">
        <v>1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1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6" t="s">
        <v>43</v>
      </c>
      <c r="AJ192" s="7">
        <v>5</v>
      </c>
    </row>
    <row r="193" spans="1:36" hidden="1" x14ac:dyDescent="0.3">
      <c r="A193" s="4" t="s">
        <v>36</v>
      </c>
      <c r="B193" s="4" t="s">
        <v>37</v>
      </c>
      <c r="C193" s="4" t="s">
        <v>458</v>
      </c>
      <c r="D193" s="4" t="s">
        <v>459</v>
      </c>
      <c r="E193" s="4" t="s">
        <v>46</v>
      </c>
      <c r="F193" s="4" t="s">
        <v>125</v>
      </c>
      <c r="G193" s="4" t="s">
        <v>60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6" t="s">
        <v>53</v>
      </c>
      <c r="AJ193" s="7">
        <v>1</v>
      </c>
    </row>
    <row r="194" spans="1:36" hidden="1" x14ac:dyDescent="0.3">
      <c r="A194" s="4" t="s">
        <v>36</v>
      </c>
      <c r="B194" s="4" t="s">
        <v>37</v>
      </c>
      <c r="C194" s="4" t="s">
        <v>460</v>
      </c>
      <c r="D194" s="4" t="s">
        <v>461</v>
      </c>
      <c r="E194" s="4" t="s">
        <v>46</v>
      </c>
      <c r="F194" s="4" t="s">
        <v>93</v>
      </c>
      <c r="G194" s="4" t="s">
        <v>42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1</v>
      </c>
      <c r="AF194" s="5">
        <v>0</v>
      </c>
      <c r="AG194" s="5">
        <v>0</v>
      </c>
      <c r="AH194" s="5">
        <v>0</v>
      </c>
      <c r="AI194" s="6" t="s">
        <v>53</v>
      </c>
      <c r="AJ194" s="7">
        <v>1</v>
      </c>
    </row>
    <row r="195" spans="1:36" hidden="1" x14ac:dyDescent="0.3">
      <c r="A195" s="4" t="s">
        <v>36</v>
      </c>
      <c r="B195" s="4" t="s">
        <v>37</v>
      </c>
      <c r="C195" s="4" t="s">
        <v>462</v>
      </c>
      <c r="D195" s="4" t="s">
        <v>463</v>
      </c>
      <c r="E195" s="4" t="s">
        <v>46</v>
      </c>
      <c r="F195" s="4" t="s">
        <v>125</v>
      </c>
      <c r="G195" s="4" t="s">
        <v>60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5">
        <v>1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0</v>
      </c>
      <c r="T195" s="5">
        <v>1</v>
      </c>
      <c r="U195" s="5">
        <v>1</v>
      </c>
      <c r="V195" s="5">
        <v>1</v>
      </c>
      <c r="W195" s="5">
        <v>1</v>
      </c>
      <c r="X195" s="5">
        <v>1</v>
      </c>
      <c r="Y195" s="5">
        <v>1</v>
      </c>
      <c r="Z195" s="5">
        <v>0</v>
      </c>
      <c r="AA195" s="5">
        <v>1</v>
      </c>
      <c r="AB195" s="5">
        <v>1</v>
      </c>
      <c r="AC195" s="5">
        <v>1</v>
      </c>
      <c r="AD195" s="5">
        <v>1</v>
      </c>
      <c r="AE195" s="5">
        <v>1</v>
      </c>
      <c r="AF195" s="5">
        <v>0</v>
      </c>
      <c r="AG195" s="5">
        <v>0</v>
      </c>
      <c r="AH195" s="5">
        <v>1</v>
      </c>
      <c r="AI195" s="6" t="s">
        <v>43</v>
      </c>
      <c r="AJ195" s="7">
        <v>23</v>
      </c>
    </row>
    <row r="196" spans="1:36" hidden="1" x14ac:dyDescent="0.3">
      <c r="A196" s="4" t="s">
        <v>36</v>
      </c>
      <c r="B196" s="4" t="s">
        <v>37</v>
      </c>
      <c r="C196" s="4" t="s">
        <v>464</v>
      </c>
      <c r="D196" s="4" t="s">
        <v>465</v>
      </c>
      <c r="E196" s="4" t="s">
        <v>46</v>
      </c>
      <c r="F196" s="4" t="s">
        <v>93</v>
      </c>
      <c r="G196" s="4" t="s">
        <v>42</v>
      </c>
      <c r="H196" s="5">
        <v>1</v>
      </c>
      <c r="I196" s="5">
        <v>1</v>
      </c>
      <c r="J196" s="5">
        <v>0</v>
      </c>
      <c r="K196" s="5">
        <v>0</v>
      </c>
      <c r="L196" s="5">
        <v>1</v>
      </c>
      <c r="M196" s="5">
        <v>0</v>
      </c>
      <c r="N196" s="5">
        <v>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1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1</v>
      </c>
      <c r="AG196" s="5">
        <v>0</v>
      </c>
      <c r="AH196" s="5">
        <v>1</v>
      </c>
      <c r="AI196" s="6" t="s">
        <v>43</v>
      </c>
      <c r="AJ196" s="7">
        <v>7</v>
      </c>
    </row>
    <row r="197" spans="1:36" hidden="1" x14ac:dyDescent="0.3">
      <c r="A197" s="4" t="s">
        <v>36</v>
      </c>
      <c r="B197" s="4" t="s">
        <v>37</v>
      </c>
      <c r="C197" s="4" t="s">
        <v>466</v>
      </c>
      <c r="D197" s="4" t="s">
        <v>467</v>
      </c>
      <c r="E197" s="4" t="s">
        <v>46</v>
      </c>
      <c r="F197" s="4" t="s">
        <v>51</v>
      </c>
      <c r="G197" s="4" t="s">
        <v>52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6" t="s">
        <v>53</v>
      </c>
      <c r="AJ197" s="7">
        <v>0</v>
      </c>
    </row>
    <row r="198" spans="1:36" hidden="1" x14ac:dyDescent="0.3">
      <c r="A198" s="4" t="s">
        <v>36</v>
      </c>
      <c r="B198" s="4" t="s">
        <v>37</v>
      </c>
      <c r="C198" s="4" t="s">
        <v>468</v>
      </c>
      <c r="D198" s="4" t="s">
        <v>469</v>
      </c>
      <c r="E198" s="4" t="s">
        <v>46</v>
      </c>
      <c r="F198" s="4" t="s">
        <v>59</v>
      </c>
      <c r="G198" s="4" t="s">
        <v>60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1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6" t="s">
        <v>53</v>
      </c>
      <c r="AJ198" s="7">
        <v>1</v>
      </c>
    </row>
    <row r="199" spans="1:36" hidden="1" x14ac:dyDescent="0.3">
      <c r="A199" s="4" t="s">
        <v>36</v>
      </c>
      <c r="B199" s="4" t="s">
        <v>37</v>
      </c>
      <c r="C199" s="4" t="s">
        <v>470</v>
      </c>
      <c r="D199" s="4" t="s">
        <v>471</v>
      </c>
      <c r="E199" s="4" t="s">
        <v>40</v>
      </c>
      <c r="F199" s="4" t="s">
        <v>472</v>
      </c>
      <c r="G199" s="4" t="s">
        <v>52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1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6" t="s">
        <v>53</v>
      </c>
      <c r="AJ199" s="7">
        <v>1</v>
      </c>
    </row>
    <row r="200" spans="1:36" hidden="1" x14ac:dyDescent="0.3">
      <c r="A200" s="4" t="s">
        <v>36</v>
      </c>
      <c r="B200" s="4" t="s">
        <v>37</v>
      </c>
      <c r="C200" s="4" t="s">
        <v>473</v>
      </c>
      <c r="D200" s="4" t="s">
        <v>474</v>
      </c>
      <c r="E200" s="4" t="s">
        <v>46</v>
      </c>
      <c r="F200" s="4" t="s">
        <v>51</v>
      </c>
      <c r="G200" s="4" t="s">
        <v>52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1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6" t="s">
        <v>53</v>
      </c>
      <c r="AJ200" s="7">
        <v>2</v>
      </c>
    </row>
    <row r="201" spans="1:36" hidden="1" x14ac:dyDescent="0.3">
      <c r="A201" s="4" t="s">
        <v>36</v>
      </c>
      <c r="B201" s="4" t="s">
        <v>37</v>
      </c>
      <c r="C201" s="4" t="s">
        <v>475</v>
      </c>
      <c r="D201" s="4" t="s">
        <v>476</v>
      </c>
      <c r="E201" s="4" t="s">
        <v>46</v>
      </c>
      <c r="F201" s="4" t="s">
        <v>63</v>
      </c>
      <c r="G201" s="4" t="s">
        <v>64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1</v>
      </c>
      <c r="O201" s="5">
        <v>0</v>
      </c>
      <c r="P201" s="5">
        <v>0</v>
      </c>
      <c r="Q201" s="5">
        <v>1</v>
      </c>
      <c r="R201" s="5">
        <v>0</v>
      </c>
      <c r="S201" s="5">
        <v>0</v>
      </c>
      <c r="T201" s="5">
        <v>1</v>
      </c>
      <c r="U201" s="5">
        <v>1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1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6" t="s">
        <v>43</v>
      </c>
      <c r="AJ201" s="7">
        <v>6</v>
      </c>
    </row>
    <row r="202" spans="1:36" hidden="1" x14ac:dyDescent="0.3">
      <c r="A202" s="4" t="s">
        <v>36</v>
      </c>
      <c r="B202" s="4" t="s">
        <v>37</v>
      </c>
      <c r="C202" s="4" t="s">
        <v>477</v>
      </c>
      <c r="D202" s="4" t="s">
        <v>478</v>
      </c>
      <c r="E202" s="4" t="s">
        <v>46</v>
      </c>
      <c r="F202" s="4" t="s">
        <v>96</v>
      </c>
      <c r="G202" s="4" t="s">
        <v>64</v>
      </c>
      <c r="H202" s="5">
        <v>0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5">
        <v>1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1</v>
      </c>
      <c r="V202" s="5">
        <v>1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6" t="s">
        <v>43</v>
      </c>
      <c r="AJ202" s="7">
        <v>6</v>
      </c>
    </row>
    <row r="203" spans="1:36" hidden="1" x14ac:dyDescent="0.3">
      <c r="A203" s="4" t="s">
        <v>36</v>
      </c>
      <c r="B203" s="4" t="s">
        <v>37</v>
      </c>
      <c r="C203" s="4" t="s">
        <v>479</v>
      </c>
      <c r="D203" s="4" t="s">
        <v>480</v>
      </c>
      <c r="E203" s="4" t="s">
        <v>46</v>
      </c>
      <c r="F203" s="4" t="s">
        <v>472</v>
      </c>
      <c r="G203" s="4" t="s">
        <v>52</v>
      </c>
      <c r="H203" s="5">
        <v>1</v>
      </c>
      <c r="I203" s="5">
        <v>1</v>
      </c>
      <c r="J203" s="5">
        <v>0</v>
      </c>
      <c r="K203" s="5">
        <v>0</v>
      </c>
      <c r="L203" s="5">
        <v>1</v>
      </c>
      <c r="M203" s="5">
        <v>0</v>
      </c>
      <c r="N203" s="5">
        <v>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1</v>
      </c>
      <c r="AD203" s="5">
        <v>0</v>
      </c>
      <c r="AE203" s="5">
        <v>1</v>
      </c>
      <c r="AF203" s="5">
        <v>0</v>
      </c>
      <c r="AG203" s="5">
        <v>0</v>
      </c>
      <c r="AH203" s="5">
        <v>0</v>
      </c>
      <c r="AI203" s="6" t="s">
        <v>43</v>
      </c>
      <c r="AJ203" s="7">
        <v>7</v>
      </c>
    </row>
    <row r="204" spans="1:36" hidden="1" x14ac:dyDescent="0.3">
      <c r="A204" s="4" t="s">
        <v>36</v>
      </c>
      <c r="B204" s="4" t="s">
        <v>37</v>
      </c>
      <c r="C204" s="4" t="s">
        <v>481</v>
      </c>
      <c r="D204" s="4" t="s">
        <v>482</v>
      </c>
      <c r="E204" s="4" t="s">
        <v>46</v>
      </c>
      <c r="F204" s="4" t="s">
        <v>165</v>
      </c>
      <c r="G204" s="4" t="s">
        <v>64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1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6" t="s">
        <v>53</v>
      </c>
      <c r="AJ204" s="7">
        <v>1</v>
      </c>
    </row>
    <row r="205" spans="1:36" hidden="1" x14ac:dyDescent="0.3">
      <c r="A205" s="4" t="s">
        <v>36</v>
      </c>
      <c r="B205" s="4" t="s">
        <v>37</v>
      </c>
      <c r="C205" s="4" t="s">
        <v>483</v>
      </c>
      <c r="D205" s="4" t="s">
        <v>484</v>
      </c>
      <c r="E205" s="4" t="s">
        <v>46</v>
      </c>
      <c r="F205" s="4" t="s">
        <v>59</v>
      </c>
      <c r="G205" s="4" t="s">
        <v>60</v>
      </c>
      <c r="H205" s="5">
        <v>1</v>
      </c>
      <c r="I205" s="5">
        <v>0</v>
      </c>
      <c r="J205" s="5">
        <v>0</v>
      </c>
      <c r="K205" s="5">
        <v>0</v>
      </c>
      <c r="L205" s="5">
        <v>1</v>
      </c>
      <c r="M205" s="5">
        <v>0</v>
      </c>
      <c r="N205" s="5">
        <v>1</v>
      </c>
      <c r="O205" s="5">
        <v>0</v>
      </c>
      <c r="P205" s="5">
        <v>0</v>
      </c>
      <c r="Q205" s="5">
        <v>1</v>
      </c>
      <c r="R205" s="5">
        <v>0</v>
      </c>
      <c r="S205" s="5">
        <v>0</v>
      </c>
      <c r="T205" s="5">
        <v>0</v>
      </c>
      <c r="U205" s="5">
        <v>0</v>
      </c>
      <c r="V205" s="5">
        <v>1</v>
      </c>
      <c r="W205" s="5">
        <v>1</v>
      </c>
      <c r="X205" s="5">
        <v>1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6" t="s">
        <v>53</v>
      </c>
      <c r="AJ205" s="7">
        <v>7</v>
      </c>
    </row>
    <row r="206" spans="1:36" hidden="1" x14ac:dyDescent="0.3">
      <c r="A206" s="4" t="s">
        <v>36</v>
      </c>
      <c r="B206" s="4" t="s">
        <v>37</v>
      </c>
      <c r="C206" s="4" t="s">
        <v>485</v>
      </c>
      <c r="D206" s="4" t="s">
        <v>486</v>
      </c>
      <c r="E206" s="4" t="s">
        <v>46</v>
      </c>
      <c r="F206" s="4" t="s">
        <v>83</v>
      </c>
      <c r="G206" s="4" t="s">
        <v>52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6" t="s">
        <v>53</v>
      </c>
      <c r="AJ206" s="7">
        <v>1</v>
      </c>
    </row>
    <row r="207" spans="1:36" hidden="1" x14ac:dyDescent="0.3">
      <c r="A207" s="4" t="s">
        <v>36</v>
      </c>
      <c r="B207" s="4" t="s">
        <v>37</v>
      </c>
      <c r="C207" s="4" t="s">
        <v>487</v>
      </c>
      <c r="D207" s="4" t="s">
        <v>488</v>
      </c>
      <c r="E207" s="4" t="s">
        <v>46</v>
      </c>
      <c r="F207" s="4" t="s">
        <v>59</v>
      </c>
      <c r="G207" s="4" t="s">
        <v>60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6" t="s">
        <v>53</v>
      </c>
      <c r="AJ207" s="7">
        <v>0</v>
      </c>
    </row>
    <row r="208" spans="1:36" hidden="1" x14ac:dyDescent="0.3">
      <c r="A208" s="4" t="s">
        <v>36</v>
      </c>
      <c r="B208" s="4" t="s">
        <v>37</v>
      </c>
      <c r="C208" s="4" t="s">
        <v>489</v>
      </c>
      <c r="D208" s="4" t="s">
        <v>490</v>
      </c>
      <c r="E208" s="4" t="s">
        <v>46</v>
      </c>
      <c r="F208" s="4" t="s">
        <v>165</v>
      </c>
      <c r="G208" s="4" t="s">
        <v>64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1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6" t="s">
        <v>53</v>
      </c>
      <c r="AJ208" s="7">
        <v>1</v>
      </c>
    </row>
    <row r="209" spans="1:36" hidden="1" x14ac:dyDescent="0.3">
      <c r="A209" s="4" t="s">
        <v>36</v>
      </c>
      <c r="B209" s="4" t="s">
        <v>37</v>
      </c>
      <c r="C209" s="4" t="s">
        <v>491</v>
      </c>
      <c r="D209" s="4" t="s">
        <v>492</v>
      </c>
      <c r="E209" s="4" t="s">
        <v>46</v>
      </c>
      <c r="F209" s="4" t="s">
        <v>77</v>
      </c>
      <c r="G209" s="4" t="s">
        <v>52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6" t="s">
        <v>53</v>
      </c>
      <c r="AJ209" s="7">
        <v>1</v>
      </c>
    </row>
    <row r="210" spans="1:36" hidden="1" x14ac:dyDescent="0.3">
      <c r="A210" s="4" t="s">
        <v>36</v>
      </c>
      <c r="B210" s="4" t="s">
        <v>37</v>
      </c>
      <c r="C210" s="4" t="s">
        <v>493</v>
      </c>
      <c r="D210" s="4" t="s">
        <v>494</v>
      </c>
      <c r="E210" s="4" t="s">
        <v>46</v>
      </c>
      <c r="F210" s="4" t="s">
        <v>59</v>
      </c>
      <c r="G210" s="4" t="s">
        <v>60</v>
      </c>
      <c r="H210" s="5">
        <v>0</v>
      </c>
      <c r="I210" s="5">
        <v>0</v>
      </c>
      <c r="J210" s="5">
        <v>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6" t="s">
        <v>53</v>
      </c>
      <c r="AJ210" s="7">
        <v>1</v>
      </c>
    </row>
    <row r="211" spans="1:36" hidden="1" x14ac:dyDescent="0.3">
      <c r="A211" s="4" t="s">
        <v>36</v>
      </c>
      <c r="B211" s="4" t="s">
        <v>37</v>
      </c>
      <c r="C211" s="4" t="s">
        <v>495</v>
      </c>
      <c r="D211" s="4" t="s">
        <v>496</v>
      </c>
      <c r="E211" s="4" t="s">
        <v>46</v>
      </c>
      <c r="F211" s="4" t="s">
        <v>93</v>
      </c>
      <c r="G211" s="4" t="s">
        <v>42</v>
      </c>
      <c r="H211" s="5">
        <v>1</v>
      </c>
      <c r="I211" s="5">
        <v>1</v>
      </c>
      <c r="J211" s="5">
        <v>1</v>
      </c>
      <c r="K211" s="5">
        <v>0</v>
      </c>
      <c r="L211" s="5">
        <v>1</v>
      </c>
      <c r="M211" s="5">
        <v>0</v>
      </c>
      <c r="N211" s="5">
        <v>1</v>
      </c>
      <c r="O211" s="5">
        <v>1</v>
      </c>
      <c r="P211" s="5">
        <v>0</v>
      </c>
      <c r="Q211" s="5">
        <v>1</v>
      </c>
      <c r="R211" s="5">
        <v>1</v>
      </c>
      <c r="S211" s="5">
        <v>0</v>
      </c>
      <c r="T211" s="5">
        <v>1</v>
      </c>
      <c r="U211" s="5">
        <v>1</v>
      </c>
      <c r="V211" s="5">
        <v>0</v>
      </c>
      <c r="W211" s="5">
        <v>1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1</v>
      </c>
      <c r="AD211" s="5">
        <v>0</v>
      </c>
      <c r="AE211" s="5">
        <v>1</v>
      </c>
      <c r="AF211" s="5">
        <v>0</v>
      </c>
      <c r="AG211" s="5">
        <v>0</v>
      </c>
      <c r="AH211" s="5">
        <v>1</v>
      </c>
      <c r="AI211" s="6" t="s">
        <v>43</v>
      </c>
      <c r="AJ211" s="7">
        <v>14</v>
      </c>
    </row>
    <row r="212" spans="1:36" hidden="1" x14ac:dyDescent="0.3">
      <c r="A212" s="4" t="s">
        <v>36</v>
      </c>
      <c r="B212" s="4" t="s">
        <v>37</v>
      </c>
      <c r="C212" s="4" t="s">
        <v>497</v>
      </c>
      <c r="D212" s="4" t="s">
        <v>498</v>
      </c>
      <c r="E212" s="4" t="s">
        <v>214</v>
      </c>
      <c r="F212" s="4" t="s">
        <v>93</v>
      </c>
      <c r="G212" s="4" t="s">
        <v>42</v>
      </c>
      <c r="H212" s="5">
        <v>1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6" t="s">
        <v>53</v>
      </c>
      <c r="AJ212" s="7">
        <v>2</v>
      </c>
    </row>
    <row r="213" spans="1:36" hidden="1" x14ac:dyDescent="0.3">
      <c r="A213" s="4" t="s">
        <v>36</v>
      </c>
      <c r="B213" s="4" t="s">
        <v>37</v>
      </c>
      <c r="C213" s="4" t="s">
        <v>499</v>
      </c>
      <c r="D213" s="4" t="s">
        <v>500</v>
      </c>
      <c r="E213" s="4" t="s">
        <v>214</v>
      </c>
      <c r="F213" s="4" t="s">
        <v>215</v>
      </c>
      <c r="G213" s="4" t="s">
        <v>42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1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6" t="s">
        <v>53</v>
      </c>
      <c r="AJ213" s="7">
        <v>1</v>
      </c>
    </row>
    <row r="214" spans="1:36" hidden="1" x14ac:dyDescent="0.3">
      <c r="A214" s="4" t="s">
        <v>36</v>
      </c>
      <c r="B214" s="4" t="s">
        <v>37</v>
      </c>
      <c r="C214" s="4" t="s">
        <v>501</v>
      </c>
      <c r="D214" s="4" t="s">
        <v>502</v>
      </c>
      <c r="E214" s="4" t="s">
        <v>46</v>
      </c>
      <c r="F214" s="4" t="s">
        <v>168</v>
      </c>
      <c r="G214" s="4" t="s">
        <v>52</v>
      </c>
      <c r="H214" s="5">
        <v>1</v>
      </c>
      <c r="I214" s="5">
        <v>1</v>
      </c>
      <c r="J214" s="5">
        <v>0</v>
      </c>
      <c r="K214" s="5">
        <v>0</v>
      </c>
      <c r="L214" s="5">
        <v>0</v>
      </c>
      <c r="M214" s="5">
        <v>0</v>
      </c>
      <c r="N214" s="5">
        <v>1</v>
      </c>
      <c r="O214" s="5">
        <v>1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1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1</v>
      </c>
      <c r="AC214" s="5">
        <v>0</v>
      </c>
      <c r="AD214" s="5">
        <v>0</v>
      </c>
      <c r="AE214" s="5">
        <v>1</v>
      </c>
      <c r="AF214" s="5">
        <v>0</v>
      </c>
      <c r="AG214" s="5">
        <v>0</v>
      </c>
      <c r="AH214" s="5">
        <v>0</v>
      </c>
      <c r="AI214" s="6" t="s">
        <v>43</v>
      </c>
      <c r="AJ214" s="7">
        <v>7</v>
      </c>
    </row>
    <row r="215" spans="1:36" hidden="1" x14ac:dyDescent="0.3">
      <c r="A215" s="4" t="s">
        <v>36</v>
      </c>
      <c r="B215" s="4" t="s">
        <v>37</v>
      </c>
      <c r="C215" s="4" t="s">
        <v>503</v>
      </c>
      <c r="D215" s="4" t="s">
        <v>504</v>
      </c>
      <c r="E215" s="4" t="s">
        <v>46</v>
      </c>
      <c r="F215" s="4" t="s">
        <v>165</v>
      </c>
      <c r="G215" s="4" t="s">
        <v>64</v>
      </c>
      <c r="H215" s="5">
        <v>1</v>
      </c>
      <c r="I215" s="5">
        <v>1</v>
      </c>
      <c r="J215" s="5">
        <v>0</v>
      </c>
      <c r="K215" s="5">
        <v>0</v>
      </c>
      <c r="L215" s="5">
        <v>0</v>
      </c>
      <c r="M215" s="5">
        <v>0</v>
      </c>
      <c r="N215" s="5">
        <v>1</v>
      </c>
      <c r="O215" s="5">
        <v>0</v>
      </c>
      <c r="P215" s="5">
        <v>0</v>
      </c>
      <c r="Q215" s="5">
        <v>1</v>
      </c>
      <c r="R215" s="5">
        <v>0</v>
      </c>
      <c r="S215" s="5">
        <v>1</v>
      </c>
      <c r="T215" s="5">
        <v>1</v>
      </c>
      <c r="U215" s="5">
        <v>1</v>
      </c>
      <c r="V215" s="5">
        <v>1</v>
      </c>
      <c r="W215" s="5">
        <v>1</v>
      </c>
      <c r="X215" s="5">
        <v>1</v>
      </c>
      <c r="Y215" s="5">
        <v>1</v>
      </c>
      <c r="Z215" s="5">
        <v>0</v>
      </c>
      <c r="AA215" s="5">
        <v>1</v>
      </c>
      <c r="AB215" s="5">
        <v>1</v>
      </c>
      <c r="AC215" s="5">
        <v>1</v>
      </c>
      <c r="AD215" s="5">
        <v>0</v>
      </c>
      <c r="AE215" s="5">
        <v>1</v>
      </c>
      <c r="AF215" s="5">
        <v>0</v>
      </c>
      <c r="AG215" s="5">
        <v>1</v>
      </c>
      <c r="AH215" s="5">
        <v>0</v>
      </c>
      <c r="AI215" s="6" t="s">
        <v>43</v>
      </c>
      <c r="AJ215" s="7">
        <v>16</v>
      </c>
    </row>
    <row r="216" spans="1:36" hidden="1" x14ac:dyDescent="0.3">
      <c r="A216" s="4" t="s">
        <v>36</v>
      </c>
      <c r="B216" s="4" t="s">
        <v>37</v>
      </c>
      <c r="C216" s="4" t="s">
        <v>505</v>
      </c>
      <c r="D216" s="4" t="s">
        <v>506</v>
      </c>
      <c r="E216" s="4" t="s">
        <v>46</v>
      </c>
      <c r="F216" s="4" t="s">
        <v>51</v>
      </c>
      <c r="G216" s="4" t="s">
        <v>52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1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6" t="s">
        <v>53</v>
      </c>
      <c r="AJ216" s="7">
        <v>1</v>
      </c>
    </row>
    <row r="217" spans="1:36" hidden="1" x14ac:dyDescent="0.3">
      <c r="A217" s="4" t="s">
        <v>36</v>
      </c>
      <c r="B217" s="4" t="s">
        <v>37</v>
      </c>
      <c r="C217" s="4" t="s">
        <v>507</v>
      </c>
      <c r="D217" s="4" t="s">
        <v>508</v>
      </c>
      <c r="E217" s="4" t="s">
        <v>40</v>
      </c>
      <c r="F217" s="4" t="s">
        <v>93</v>
      </c>
      <c r="G217" s="4" t="s">
        <v>42</v>
      </c>
      <c r="H217" s="5">
        <v>1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1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1</v>
      </c>
      <c r="AF217" s="5">
        <v>0</v>
      </c>
      <c r="AG217" s="5">
        <v>0</v>
      </c>
      <c r="AH217" s="5">
        <v>0</v>
      </c>
      <c r="AI217" s="6" t="s">
        <v>43</v>
      </c>
      <c r="AJ217" s="7">
        <v>3</v>
      </c>
    </row>
    <row r="218" spans="1:36" hidden="1" x14ac:dyDescent="0.3">
      <c r="A218" s="4" t="s">
        <v>36</v>
      </c>
      <c r="B218" s="4" t="s">
        <v>37</v>
      </c>
      <c r="C218" s="4" t="s">
        <v>509</v>
      </c>
      <c r="D218" s="4" t="s">
        <v>510</v>
      </c>
      <c r="E218" s="4" t="s">
        <v>46</v>
      </c>
      <c r="F218" s="4" t="s">
        <v>472</v>
      </c>
      <c r="G218" s="4" t="s">
        <v>52</v>
      </c>
      <c r="H218" s="5">
        <v>1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1</v>
      </c>
      <c r="S218" s="5">
        <v>0</v>
      </c>
      <c r="T218" s="5">
        <v>1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1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6" t="s">
        <v>43</v>
      </c>
      <c r="AJ218" s="7">
        <v>5</v>
      </c>
    </row>
    <row r="219" spans="1:36" hidden="1" x14ac:dyDescent="0.3">
      <c r="A219" s="4" t="s">
        <v>36</v>
      </c>
      <c r="B219" s="4" t="s">
        <v>37</v>
      </c>
      <c r="C219" s="4" t="s">
        <v>511</v>
      </c>
      <c r="D219" s="4" t="s">
        <v>512</v>
      </c>
      <c r="E219" s="4" t="s">
        <v>46</v>
      </c>
      <c r="F219" s="4" t="s">
        <v>59</v>
      </c>
      <c r="G219" s="4" t="s">
        <v>60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1</v>
      </c>
      <c r="AF219" s="5">
        <v>0</v>
      </c>
      <c r="AG219" s="5">
        <v>0</v>
      </c>
      <c r="AH219" s="5">
        <v>0</v>
      </c>
      <c r="AI219" s="6" t="s">
        <v>53</v>
      </c>
      <c r="AJ219" s="7">
        <v>1</v>
      </c>
    </row>
    <row r="220" spans="1:36" hidden="1" x14ac:dyDescent="0.3">
      <c r="A220" s="4" t="s">
        <v>36</v>
      </c>
      <c r="B220" s="4" t="s">
        <v>37</v>
      </c>
      <c r="C220" s="4" t="s">
        <v>514</v>
      </c>
      <c r="D220" s="4" t="s">
        <v>515</v>
      </c>
      <c r="E220" s="4" t="s">
        <v>46</v>
      </c>
      <c r="F220" s="4" t="s">
        <v>165</v>
      </c>
      <c r="G220" s="4" t="s">
        <v>64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1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6" t="s">
        <v>43</v>
      </c>
      <c r="AJ220" s="7">
        <v>1</v>
      </c>
    </row>
    <row r="221" spans="1:36" hidden="1" x14ac:dyDescent="0.3">
      <c r="A221" s="4" t="s">
        <v>36</v>
      </c>
      <c r="B221" s="4" t="s">
        <v>37</v>
      </c>
      <c r="C221" s="4" t="s">
        <v>516</v>
      </c>
      <c r="D221" s="4" t="s">
        <v>517</v>
      </c>
      <c r="E221" s="4" t="s">
        <v>46</v>
      </c>
      <c r="F221" s="4" t="s">
        <v>63</v>
      </c>
      <c r="G221" s="4" t="s">
        <v>64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1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6" t="s">
        <v>53</v>
      </c>
      <c r="AJ221" s="7">
        <v>1</v>
      </c>
    </row>
    <row r="222" spans="1:36" hidden="1" x14ac:dyDescent="0.3">
      <c r="A222" s="4" t="s">
        <v>36</v>
      </c>
      <c r="B222" s="4" t="s">
        <v>37</v>
      </c>
      <c r="C222" s="4" t="s">
        <v>518</v>
      </c>
      <c r="D222" s="4" t="s">
        <v>519</v>
      </c>
      <c r="E222" s="4" t="s">
        <v>46</v>
      </c>
      <c r="F222" s="4" t="s">
        <v>51</v>
      </c>
      <c r="G222" s="4" t="s">
        <v>52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1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6" t="s">
        <v>43</v>
      </c>
      <c r="AJ222" s="7">
        <v>1</v>
      </c>
    </row>
    <row r="223" spans="1:36" hidden="1" x14ac:dyDescent="0.3">
      <c r="A223" s="4" t="s">
        <v>36</v>
      </c>
      <c r="B223" s="4" t="s">
        <v>37</v>
      </c>
      <c r="C223" s="4" t="s">
        <v>520</v>
      </c>
      <c r="D223" s="4" t="s">
        <v>521</v>
      </c>
      <c r="E223" s="4" t="s">
        <v>46</v>
      </c>
      <c r="F223" s="4" t="s">
        <v>51</v>
      </c>
      <c r="G223" s="4" t="s">
        <v>52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6" t="s">
        <v>53</v>
      </c>
      <c r="AJ223" s="7">
        <v>1</v>
      </c>
    </row>
    <row r="224" spans="1:36" hidden="1" x14ac:dyDescent="0.3">
      <c r="A224" s="4" t="s">
        <v>36</v>
      </c>
      <c r="B224" s="4" t="s">
        <v>37</v>
      </c>
      <c r="C224" s="4" t="s">
        <v>522</v>
      </c>
      <c r="D224" s="4" t="s">
        <v>523</v>
      </c>
      <c r="E224" s="4" t="s">
        <v>46</v>
      </c>
      <c r="F224" s="4" t="s">
        <v>59</v>
      </c>
      <c r="G224" s="4" t="s">
        <v>60</v>
      </c>
      <c r="H224" s="5">
        <v>1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6" t="s">
        <v>53</v>
      </c>
      <c r="AJ224" s="7">
        <v>1</v>
      </c>
    </row>
    <row r="225" spans="1:36" hidden="1" x14ac:dyDescent="0.3">
      <c r="A225" s="4" t="s">
        <v>36</v>
      </c>
      <c r="B225" s="4" t="s">
        <v>37</v>
      </c>
      <c r="C225" s="4" t="s">
        <v>524</v>
      </c>
      <c r="D225" s="4" t="s">
        <v>525</v>
      </c>
      <c r="E225" s="4" t="s">
        <v>46</v>
      </c>
      <c r="F225" s="4" t="s">
        <v>59</v>
      </c>
      <c r="G225" s="4" t="s">
        <v>60</v>
      </c>
      <c r="H225" s="5">
        <v>1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1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6" t="s">
        <v>53</v>
      </c>
      <c r="AJ225" s="7">
        <v>3</v>
      </c>
    </row>
    <row r="226" spans="1:36" hidden="1" x14ac:dyDescent="0.3">
      <c r="A226" s="4" t="s">
        <v>36</v>
      </c>
      <c r="B226" s="4" t="s">
        <v>37</v>
      </c>
      <c r="C226" s="4" t="s">
        <v>526</v>
      </c>
      <c r="D226" s="4" t="s">
        <v>527</v>
      </c>
      <c r="E226" s="4" t="s">
        <v>214</v>
      </c>
      <c r="F226" s="4" t="s">
        <v>215</v>
      </c>
      <c r="G226" s="4" t="s">
        <v>42</v>
      </c>
      <c r="H226" s="5">
        <v>1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6" t="s">
        <v>53</v>
      </c>
      <c r="AJ226" s="7">
        <v>1</v>
      </c>
    </row>
    <row r="227" spans="1:36" hidden="1" x14ac:dyDescent="0.3">
      <c r="A227" s="4" t="s">
        <v>36</v>
      </c>
      <c r="B227" s="4" t="s">
        <v>37</v>
      </c>
      <c r="C227" s="4" t="s">
        <v>528</v>
      </c>
      <c r="D227" s="4" t="s">
        <v>529</v>
      </c>
      <c r="E227" s="4" t="s">
        <v>46</v>
      </c>
      <c r="F227" s="4" t="s">
        <v>59</v>
      </c>
      <c r="G227" s="4" t="s">
        <v>60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6" t="s">
        <v>53</v>
      </c>
      <c r="AJ227" s="7">
        <v>0</v>
      </c>
    </row>
    <row r="228" spans="1:36" hidden="1" x14ac:dyDescent="0.3">
      <c r="A228" s="4" t="s">
        <v>36</v>
      </c>
      <c r="B228" s="4" t="s">
        <v>37</v>
      </c>
      <c r="C228" s="4" t="s">
        <v>530</v>
      </c>
      <c r="D228" s="4" t="s">
        <v>531</v>
      </c>
      <c r="E228" s="4" t="s">
        <v>46</v>
      </c>
      <c r="F228" s="4" t="s">
        <v>59</v>
      </c>
      <c r="G228" s="4" t="s">
        <v>60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1</v>
      </c>
      <c r="AF228" s="5">
        <v>0</v>
      </c>
      <c r="AG228" s="5">
        <v>0</v>
      </c>
      <c r="AH228" s="5">
        <v>0</v>
      </c>
      <c r="AI228" s="6" t="s">
        <v>53</v>
      </c>
      <c r="AJ228" s="7">
        <v>1</v>
      </c>
    </row>
    <row r="229" spans="1:36" hidden="1" x14ac:dyDescent="0.3">
      <c r="A229" s="4" t="s">
        <v>36</v>
      </c>
      <c r="B229" s="4" t="s">
        <v>37</v>
      </c>
      <c r="C229" s="4" t="s">
        <v>532</v>
      </c>
      <c r="D229" s="4" t="s">
        <v>533</v>
      </c>
      <c r="E229" s="4" t="s">
        <v>46</v>
      </c>
      <c r="F229" s="4" t="s">
        <v>59</v>
      </c>
      <c r="G229" s="4" t="s">
        <v>60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1</v>
      </c>
      <c r="AC229" s="5">
        <v>0</v>
      </c>
      <c r="AD229" s="5">
        <v>0</v>
      </c>
      <c r="AE229" s="5">
        <v>1</v>
      </c>
      <c r="AF229" s="5">
        <v>0</v>
      </c>
      <c r="AG229" s="5">
        <v>0</v>
      </c>
      <c r="AH229" s="5">
        <v>0</v>
      </c>
      <c r="AI229" s="6" t="s">
        <v>53</v>
      </c>
      <c r="AJ229" s="7">
        <v>2</v>
      </c>
    </row>
    <row r="230" spans="1:36" hidden="1" x14ac:dyDescent="0.3">
      <c r="A230" s="4" t="s">
        <v>36</v>
      </c>
      <c r="B230" s="4" t="s">
        <v>37</v>
      </c>
      <c r="C230" s="4" t="s">
        <v>534</v>
      </c>
      <c r="D230" s="4" t="s">
        <v>535</v>
      </c>
      <c r="E230" s="4" t="s">
        <v>46</v>
      </c>
      <c r="F230" s="4" t="s">
        <v>86</v>
      </c>
      <c r="G230" s="4" t="s">
        <v>42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1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6" t="s">
        <v>43</v>
      </c>
      <c r="AJ230" s="7">
        <v>1</v>
      </c>
    </row>
    <row r="231" spans="1:36" hidden="1" x14ac:dyDescent="0.3">
      <c r="A231" s="4" t="s">
        <v>36</v>
      </c>
      <c r="B231" s="4" t="s">
        <v>37</v>
      </c>
      <c r="C231" s="4" t="s">
        <v>536</v>
      </c>
      <c r="D231" s="4" t="s">
        <v>537</v>
      </c>
      <c r="E231" s="4" t="s">
        <v>46</v>
      </c>
      <c r="F231" s="4" t="s">
        <v>51</v>
      </c>
      <c r="G231" s="4" t="s">
        <v>52</v>
      </c>
      <c r="H231" s="5">
        <v>1</v>
      </c>
      <c r="I231" s="5">
        <v>1</v>
      </c>
      <c r="J231" s="5">
        <v>0</v>
      </c>
      <c r="K231" s="5">
        <v>0</v>
      </c>
      <c r="L231" s="5">
        <v>0</v>
      </c>
      <c r="M231" s="5">
        <v>0</v>
      </c>
      <c r="N231" s="5">
        <v>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1</v>
      </c>
      <c r="V231" s="5">
        <v>0</v>
      </c>
      <c r="W231" s="5">
        <v>0</v>
      </c>
      <c r="X231" s="5">
        <v>1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6" t="s">
        <v>43</v>
      </c>
      <c r="AJ231" s="7">
        <v>5</v>
      </c>
    </row>
    <row r="232" spans="1:36" hidden="1" x14ac:dyDescent="0.3">
      <c r="A232" s="4" t="s">
        <v>36</v>
      </c>
      <c r="B232" s="4" t="s">
        <v>37</v>
      </c>
      <c r="C232" s="4" t="s">
        <v>538</v>
      </c>
      <c r="D232" s="4" t="s">
        <v>539</v>
      </c>
      <c r="E232" s="4" t="s">
        <v>46</v>
      </c>
      <c r="F232" s="4" t="s">
        <v>59</v>
      </c>
      <c r="G232" s="4" t="s">
        <v>60</v>
      </c>
      <c r="H232" s="5">
        <v>1</v>
      </c>
      <c r="I232" s="5">
        <v>0</v>
      </c>
      <c r="J232" s="5">
        <v>0</v>
      </c>
      <c r="K232" s="5">
        <v>0</v>
      </c>
      <c r="L232" s="5">
        <v>1</v>
      </c>
      <c r="M232" s="5">
        <v>0</v>
      </c>
      <c r="N232" s="5">
        <v>1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6" t="s">
        <v>53</v>
      </c>
      <c r="AJ232" s="7">
        <v>3</v>
      </c>
    </row>
    <row r="233" spans="1:36" hidden="1" x14ac:dyDescent="0.3">
      <c r="A233" s="4" t="s">
        <v>36</v>
      </c>
      <c r="B233" s="4" t="s">
        <v>37</v>
      </c>
      <c r="C233" s="4" t="s">
        <v>540</v>
      </c>
      <c r="D233" s="4" t="s">
        <v>541</v>
      </c>
      <c r="E233" s="4" t="s">
        <v>46</v>
      </c>
      <c r="F233" s="4" t="s">
        <v>83</v>
      </c>
      <c r="G233" s="4" t="s">
        <v>52</v>
      </c>
      <c r="H233" s="5">
        <v>1</v>
      </c>
      <c r="I233" s="5">
        <v>1</v>
      </c>
      <c r="J233" s="5">
        <v>0</v>
      </c>
      <c r="K233" s="5">
        <v>0</v>
      </c>
      <c r="L233" s="5">
        <v>0</v>
      </c>
      <c r="M233" s="5">
        <v>1</v>
      </c>
      <c r="N233" s="5">
        <v>1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6" t="s">
        <v>53</v>
      </c>
      <c r="AJ233" s="7">
        <v>4</v>
      </c>
    </row>
    <row r="234" spans="1:36" hidden="1" x14ac:dyDescent="0.3">
      <c r="A234" s="4" t="s">
        <v>36</v>
      </c>
      <c r="B234" s="4" t="s">
        <v>37</v>
      </c>
      <c r="C234" s="4" t="s">
        <v>542</v>
      </c>
      <c r="D234" s="4" t="s">
        <v>543</v>
      </c>
      <c r="E234" s="4" t="s">
        <v>46</v>
      </c>
      <c r="F234" s="4" t="s">
        <v>63</v>
      </c>
      <c r="G234" s="4" t="s">
        <v>64</v>
      </c>
      <c r="H234" s="5">
        <v>1</v>
      </c>
      <c r="I234" s="5">
        <v>1</v>
      </c>
      <c r="J234" s="5">
        <v>1</v>
      </c>
      <c r="K234" s="5">
        <v>0</v>
      </c>
      <c r="L234" s="5">
        <v>1</v>
      </c>
      <c r="M234" s="5">
        <v>1</v>
      </c>
      <c r="N234" s="5">
        <v>1</v>
      </c>
      <c r="O234" s="5">
        <v>0</v>
      </c>
      <c r="P234" s="5">
        <v>0</v>
      </c>
      <c r="Q234" s="5">
        <v>1</v>
      </c>
      <c r="R234" s="5">
        <v>0</v>
      </c>
      <c r="S234" s="5">
        <v>0</v>
      </c>
      <c r="T234" s="5">
        <v>0</v>
      </c>
      <c r="U234" s="5">
        <v>1</v>
      </c>
      <c r="V234" s="5">
        <v>1</v>
      </c>
      <c r="W234" s="5">
        <v>0</v>
      </c>
      <c r="X234" s="5">
        <v>1</v>
      </c>
      <c r="Y234" s="5">
        <v>1</v>
      </c>
      <c r="Z234" s="5">
        <v>0</v>
      </c>
      <c r="AA234" s="5">
        <v>0</v>
      </c>
      <c r="AB234" s="5">
        <v>1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6" t="s">
        <v>43</v>
      </c>
      <c r="AJ234" s="7">
        <v>12</v>
      </c>
    </row>
    <row r="235" spans="1:36" hidden="1" x14ac:dyDescent="0.3">
      <c r="A235" s="4" t="s">
        <v>36</v>
      </c>
      <c r="B235" s="4" t="s">
        <v>37</v>
      </c>
      <c r="C235" s="4" t="s">
        <v>544</v>
      </c>
      <c r="D235" s="4" t="s">
        <v>545</v>
      </c>
      <c r="E235" s="4" t="s">
        <v>46</v>
      </c>
      <c r="F235" s="4" t="s">
        <v>86</v>
      </c>
      <c r="G235" s="4" t="s">
        <v>42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0</v>
      </c>
      <c r="N235" s="5">
        <v>1</v>
      </c>
      <c r="O235" s="5">
        <v>1</v>
      </c>
      <c r="P235" s="5">
        <v>0</v>
      </c>
      <c r="Q235" s="5">
        <v>1</v>
      </c>
      <c r="R235" s="5">
        <v>0</v>
      </c>
      <c r="S235" s="5">
        <v>0</v>
      </c>
      <c r="T235" s="5">
        <v>1</v>
      </c>
      <c r="U235" s="5">
        <v>1</v>
      </c>
      <c r="V235" s="5">
        <v>1</v>
      </c>
      <c r="W235" s="5">
        <v>1</v>
      </c>
      <c r="X235" s="5">
        <v>0</v>
      </c>
      <c r="Y235" s="5">
        <v>0</v>
      </c>
      <c r="Z235" s="5">
        <v>0</v>
      </c>
      <c r="AA235" s="5">
        <v>0</v>
      </c>
      <c r="AB235" s="5">
        <v>1</v>
      </c>
      <c r="AC235" s="5">
        <v>0</v>
      </c>
      <c r="AD235" s="5">
        <v>0</v>
      </c>
      <c r="AE235" s="5">
        <v>1</v>
      </c>
      <c r="AF235" s="5">
        <v>0</v>
      </c>
      <c r="AG235" s="5">
        <v>1</v>
      </c>
      <c r="AH235" s="5">
        <v>1</v>
      </c>
      <c r="AI235" s="6" t="s">
        <v>43</v>
      </c>
      <c r="AJ235" s="7">
        <v>16</v>
      </c>
    </row>
    <row r="236" spans="1:36" hidden="1" x14ac:dyDescent="0.3">
      <c r="A236" s="4" t="s">
        <v>36</v>
      </c>
      <c r="B236" s="4" t="s">
        <v>37</v>
      </c>
      <c r="C236" s="4" t="s">
        <v>547</v>
      </c>
      <c r="D236" s="4" t="s">
        <v>548</v>
      </c>
      <c r="E236" s="4" t="s">
        <v>46</v>
      </c>
      <c r="F236" s="4" t="s">
        <v>59</v>
      </c>
      <c r="G236" s="4" t="s">
        <v>60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1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6" t="s">
        <v>53</v>
      </c>
      <c r="AJ236" s="7">
        <v>1</v>
      </c>
    </row>
    <row r="237" spans="1:36" hidden="1" x14ac:dyDescent="0.3">
      <c r="A237" s="4" t="s">
        <v>36</v>
      </c>
      <c r="B237" s="4" t="s">
        <v>37</v>
      </c>
      <c r="C237" s="4" t="s">
        <v>550</v>
      </c>
      <c r="D237" s="4" t="s">
        <v>551</v>
      </c>
      <c r="E237" s="4" t="s">
        <v>40</v>
      </c>
      <c r="F237" s="4" t="s">
        <v>215</v>
      </c>
      <c r="G237" s="4" t="s">
        <v>42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1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6" t="s">
        <v>53</v>
      </c>
      <c r="AJ237" s="7">
        <v>1</v>
      </c>
    </row>
    <row r="238" spans="1:36" hidden="1" x14ac:dyDescent="0.3">
      <c r="A238" s="4" t="s">
        <v>36</v>
      </c>
      <c r="B238" s="4" t="s">
        <v>37</v>
      </c>
      <c r="C238" s="4" t="s">
        <v>552</v>
      </c>
      <c r="D238" s="4" t="s">
        <v>553</v>
      </c>
      <c r="E238" s="4" t="s">
        <v>46</v>
      </c>
      <c r="F238" s="4" t="s">
        <v>140</v>
      </c>
      <c r="G238" s="4" t="s">
        <v>42</v>
      </c>
      <c r="H238" s="5">
        <v>1</v>
      </c>
      <c r="I238" s="5">
        <v>0</v>
      </c>
      <c r="J238" s="5">
        <v>0</v>
      </c>
      <c r="K238" s="5">
        <v>0</v>
      </c>
      <c r="L238" s="5">
        <v>1</v>
      </c>
      <c r="M238" s="5">
        <v>0</v>
      </c>
      <c r="N238" s="5">
        <v>1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6" t="s">
        <v>43</v>
      </c>
      <c r="AJ238" s="7">
        <v>3</v>
      </c>
    </row>
    <row r="239" spans="1:36" hidden="1" x14ac:dyDescent="0.3">
      <c r="A239" s="4" t="s">
        <v>36</v>
      </c>
      <c r="B239" s="4" t="s">
        <v>37</v>
      </c>
      <c r="C239" s="4" t="s">
        <v>554</v>
      </c>
      <c r="D239" s="4" t="s">
        <v>555</v>
      </c>
      <c r="E239" s="4" t="s">
        <v>46</v>
      </c>
      <c r="F239" s="4" t="s">
        <v>168</v>
      </c>
      <c r="G239" s="4" t="s">
        <v>52</v>
      </c>
      <c r="H239" s="5">
        <v>1</v>
      </c>
      <c r="I239" s="5">
        <v>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1</v>
      </c>
      <c r="R239" s="5">
        <v>0</v>
      </c>
      <c r="S239" s="5">
        <v>0</v>
      </c>
      <c r="T239" s="5">
        <v>0</v>
      </c>
      <c r="U239" s="5">
        <v>1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1</v>
      </c>
      <c r="AF239" s="5">
        <v>0</v>
      </c>
      <c r="AG239" s="5">
        <v>0</v>
      </c>
      <c r="AH239" s="5">
        <v>1</v>
      </c>
      <c r="AI239" s="6" t="s">
        <v>53</v>
      </c>
      <c r="AJ239" s="7">
        <v>6</v>
      </c>
    </row>
    <row r="240" spans="1:36" hidden="1" x14ac:dyDescent="0.3">
      <c r="A240" s="4" t="s">
        <v>36</v>
      </c>
      <c r="B240" s="4" t="s">
        <v>37</v>
      </c>
      <c r="C240" s="4" t="s">
        <v>556</v>
      </c>
      <c r="D240" s="4" t="s">
        <v>557</v>
      </c>
      <c r="E240" s="4" t="s">
        <v>46</v>
      </c>
      <c r="F240" s="4" t="s">
        <v>140</v>
      </c>
      <c r="G240" s="4" t="s">
        <v>42</v>
      </c>
      <c r="H240" s="5">
        <v>0</v>
      </c>
      <c r="I240" s="5">
        <v>0</v>
      </c>
      <c r="J240" s="5">
        <v>0</v>
      </c>
      <c r="K240" s="5">
        <v>1</v>
      </c>
      <c r="L240" s="5">
        <v>0</v>
      </c>
      <c r="M240" s="5">
        <v>0</v>
      </c>
      <c r="N240" s="5">
        <v>0</v>
      </c>
      <c r="O240" s="5">
        <v>1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1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6" t="s">
        <v>43</v>
      </c>
      <c r="AJ240" s="7">
        <v>3</v>
      </c>
    </row>
    <row r="241" spans="1:36" hidden="1" x14ac:dyDescent="0.3">
      <c r="A241" s="4" t="s">
        <v>36</v>
      </c>
      <c r="B241" s="4" t="s">
        <v>37</v>
      </c>
      <c r="C241" s="4" t="s">
        <v>558</v>
      </c>
      <c r="D241" s="4" t="s">
        <v>559</v>
      </c>
      <c r="E241" s="4" t="s">
        <v>214</v>
      </c>
      <c r="F241" s="4" t="s">
        <v>215</v>
      </c>
      <c r="G241" s="4" t="s">
        <v>42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1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6" t="s">
        <v>53</v>
      </c>
      <c r="AJ241" s="7">
        <v>1</v>
      </c>
    </row>
    <row r="242" spans="1:36" hidden="1" x14ac:dyDescent="0.3">
      <c r="A242" s="4" t="s">
        <v>36</v>
      </c>
      <c r="B242" s="4" t="s">
        <v>37</v>
      </c>
      <c r="C242" s="4" t="s">
        <v>560</v>
      </c>
      <c r="D242" s="4" t="s">
        <v>561</v>
      </c>
      <c r="E242" s="4" t="s">
        <v>46</v>
      </c>
      <c r="F242" s="4" t="s">
        <v>472</v>
      </c>
      <c r="G242" s="4" t="s">
        <v>52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6" t="s">
        <v>53</v>
      </c>
      <c r="AJ242" s="7">
        <v>0</v>
      </c>
    </row>
    <row r="243" spans="1:36" hidden="1" x14ac:dyDescent="0.3">
      <c r="A243" s="4" t="s">
        <v>36</v>
      </c>
      <c r="B243" s="4" t="s">
        <v>37</v>
      </c>
      <c r="C243" s="4" t="s">
        <v>562</v>
      </c>
      <c r="D243" s="4" t="s">
        <v>563</v>
      </c>
      <c r="E243" s="4" t="s">
        <v>46</v>
      </c>
      <c r="F243" s="4" t="s">
        <v>165</v>
      </c>
      <c r="G243" s="4" t="s">
        <v>64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1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1</v>
      </c>
      <c r="AH243" s="5">
        <v>0</v>
      </c>
      <c r="AI243" s="6" t="s">
        <v>53</v>
      </c>
      <c r="AJ243" s="7">
        <v>3</v>
      </c>
    </row>
    <row r="244" spans="1:36" hidden="1" x14ac:dyDescent="0.3">
      <c r="A244" s="4" t="s">
        <v>36</v>
      </c>
      <c r="B244" s="4" t="s">
        <v>37</v>
      </c>
      <c r="C244" s="4" t="s">
        <v>564</v>
      </c>
      <c r="D244" s="4" t="s">
        <v>565</v>
      </c>
      <c r="E244" s="4" t="s">
        <v>46</v>
      </c>
      <c r="F244" s="4" t="s">
        <v>59</v>
      </c>
      <c r="G244" s="4" t="s">
        <v>60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6" t="s">
        <v>53</v>
      </c>
      <c r="AJ244" s="7">
        <v>0</v>
      </c>
    </row>
    <row r="245" spans="1:36" hidden="1" x14ac:dyDescent="0.3">
      <c r="A245" s="4" t="s">
        <v>36</v>
      </c>
      <c r="B245" s="4" t="s">
        <v>37</v>
      </c>
      <c r="C245" s="4" t="s">
        <v>566</v>
      </c>
      <c r="D245" s="4" t="s">
        <v>567</v>
      </c>
      <c r="E245" s="4" t="s">
        <v>214</v>
      </c>
      <c r="F245" s="4" t="s">
        <v>215</v>
      </c>
      <c r="G245" s="4" t="s">
        <v>42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1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6" t="s">
        <v>53</v>
      </c>
      <c r="AJ245" s="7">
        <v>1</v>
      </c>
    </row>
    <row r="246" spans="1:36" hidden="1" x14ac:dyDescent="0.3">
      <c r="A246" s="4" t="s">
        <v>36</v>
      </c>
      <c r="B246" s="4" t="s">
        <v>37</v>
      </c>
      <c r="C246" s="4" t="s">
        <v>568</v>
      </c>
      <c r="D246" s="4" t="s">
        <v>569</v>
      </c>
      <c r="E246" s="4" t="s">
        <v>46</v>
      </c>
      <c r="F246" s="4" t="s">
        <v>41</v>
      </c>
      <c r="G246" s="4" t="s">
        <v>42</v>
      </c>
      <c r="H246" s="5">
        <v>1</v>
      </c>
      <c r="I246" s="5">
        <v>0</v>
      </c>
      <c r="J246" s="5">
        <v>1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6" t="s">
        <v>43</v>
      </c>
      <c r="AJ246" s="7">
        <v>2</v>
      </c>
    </row>
    <row r="247" spans="1:36" hidden="1" x14ac:dyDescent="0.3">
      <c r="A247" s="4" t="s">
        <v>36</v>
      </c>
      <c r="B247" s="4" t="s">
        <v>37</v>
      </c>
      <c r="C247" s="4" t="s">
        <v>570</v>
      </c>
      <c r="D247" s="4" t="s">
        <v>571</v>
      </c>
      <c r="E247" s="4" t="s">
        <v>40</v>
      </c>
      <c r="F247" s="4" t="s">
        <v>215</v>
      </c>
      <c r="G247" s="4" t="s">
        <v>42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1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6" t="s">
        <v>53</v>
      </c>
      <c r="AJ247" s="7">
        <v>1</v>
      </c>
    </row>
    <row r="248" spans="1:36" hidden="1" x14ac:dyDescent="0.3">
      <c r="A248" s="4" t="s">
        <v>36</v>
      </c>
      <c r="B248" s="4" t="s">
        <v>37</v>
      </c>
      <c r="C248" s="4" t="s">
        <v>572</v>
      </c>
      <c r="D248" s="4" t="s">
        <v>573</v>
      </c>
      <c r="E248" s="4" t="s">
        <v>214</v>
      </c>
      <c r="F248" s="4" t="s">
        <v>215</v>
      </c>
      <c r="G248" s="4" t="s">
        <v>42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1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6" t="s">
        <v>53</v>
      </c>
      <c r="AJ248" s="7">
        <v>1</v>
      </c>
    </row>
    <row r="249" spans="1:36" hidden="1" x14ac:dyDescent="0.3">
      <c r="A249" s="4" t="s">
        <v>36</v>
      </c>
      <c r="B249" s="4" t="s">
        <v>37</v>
      </c>
      <c r="C249" s="4" t="s">
        <v>574</v>
      </c>
      <c r="D249" s="4" t="s">
        <v>575</v>
      </c>
      <c r="E249" s="4" t="s">
        <v>214</v>
      </c>
      <c r="F249" s="4" t="s">
        <v>215</v>
      </c>
      <c r="G249" s="4" t="s">
        <v>42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1</v>
      </c>
      <c r="AA249" s="5">
        <v>0</v>
      </c>
      <c r="AB249" s="5">
        <v>0</v>
      </c>
      <c r="AC249" s="5">
        <v>1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6" t="s">
        <v>43</v>
      </c>
      <c r="AJ249" s="7">
        <v>2</v>
      </c>
    </row>
    <row r="250" spans="1:36" hidden="1" x14ac:dyDescent="0.3">
      <c r="A250" s="4" t="s">
        <v>36</v>
      </c>
      <c r="B250" s="4" t="s">
        <v>37</v>
      </c>
      <c r="C250" s="4" t="s">
        <v>576</v>
      </c>
      <c r="D250" s="4" t="s">
        <v>577</v>
      </c>
      <c r="E250" s="4" t="s">
        <v>46</v>
      </c>
      <c r="F250" s="4" t="s">
        <v>51</v>
      </c>
      <c r="G250" s="4" t="s">
        <v>52</v>
      </c>
      <c r="H250" s="5">
        <v>1</v>
      </c>
      <c r="I250" s="5">
        <v>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1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1</v>
      </c>
      <c r="AH250" s="5">
        <v>0</v>
      </c>
      <c r="AI250" s="6" t="s">
        <v>43</v>
      </c>
      <c r="AJ250" s="7">
        <v>4</v>
      </c>
    </row>
    <row r="251" spans="1:36" hidden="1" x14ac:dyDescent="0.3">
      <c r="A251" s="4" t="s">
        <v>36</v>
      </c>
      <c r="B251" s="4" t="s">
        <v>37</v>
      </c>
      <c r="C251" s="4" t="s">
        <v>578</v>
      </c>
      <c r="D251" s="4" t="s">
        <v>579</v>
      </c>
      <c r="E251" s="4" t="s">
        <v>46</v>
      </c>
      <c r="F251" s="4" t="s">
        <v>80</v>
      </c>
      <c r="G251" s="4" t="s">
        <v>64</v>
      </c>
      <c r="H251" s="5">
        <v>1</v>
      </c>
      <c r="I251" s="5">
        <v>0</v>
      </c>
      <c r="J251" s="5">
        <v>0</v>
      </c>
      <c r="K251" s="5">
        <v>0</v>
      </c>
      <c r="L251" s="5">
        <v>1</v>
      </c>
      <c r="M251" s="5">
        <v>0</v>
      </c>
      <c r="N251" s="5">
        <v>1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1</v>
      </c>
      <c r="V251" s="5">
        <v>1</v>
      </c>
      <c r="W251" s="5">
        <v>0</v>
      </c>
      <c r="X251" s="5">
        <v>0</v>
      </c>
      <c r="Y251" s="5">
        <v>1</v>
      </c>
      <c r="Z251" s="5">
        <v>0</v>
      </c>
      <c r="AA251" s="5">
        <v>0</v>
      </c>
      <c r="AB251" s="5">
        <v>0</v>
      </c>
      <c r="AC251" s="5">
        <v>1</v>
      </c>
      <c r="AD251" s="5">
        <v>0</v>
      </c>
      <c r="AE251" s="5">
        <v>1</v>
      </c>
      <c r="AF251" s="5">
        <v>0</v>
      </c>
      <c r="AG251" s="5">
        <v>0</v>
      </c>
      <c r="AH251" s="5">
        <v>0</v>
      </c>
      <c r="AI251" s="6" t="s">
        <v>43</v>
      </c>
      <c r="AJ251" s="7">
        <v>8</v>
      </c>
    </row>
    <row r="252" spans="1:36" hidden="1" x14ac:dyDescent="0.3">
      <c r="A252" s="4" t="s">
        <v>36</v>
      </c>
      <c r="B252" s="4" t="s">
        <v>37</v>
      </c>
      <c r="C252" s="4" t="s">
        <v>580</v>
      </c>
      <c r="D252" s="4" t="s">
        <v>581</v>
      </c>
      <c r="E252" s="4" t="s">
        <v>46</v>
      </c>
      <c r="F252" s="4" t="s">
        <v>168</v>
      </c>
      <c r="G252" s="4" t="s">
        <v>52</v>
      </c>
      <c r="H252" s="5">
        <v>1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1</v>
      </c>
      <c r="O252" s="5">
        <v>0</v>
      </c>
      <c r="P252" s="5">
        <v>1</v>
      </c>
      <c r="Q252" s="5">
        <v>1</v>
      </c>
      <c r="R252" s="5">
        <v>0</v>
      </c>
      <c r="S252" s="5">
        <v>0</v>
      </c>
      <c r="T252" s="5">
        <v>0</v>
      </c>
      <c r="U252" s="5">
        <v>1</v>
      </c>
      <c r="V252" s="5">
        <v>0</v>
      </c>
      <c r="W252" s="5">
        <v>0</v>
      </c>
      <c r="X252" s="5">
        <v>0</v>
      </c>
      <c r="Y252" s="5">
        <v>1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1</v>
      </c>
      <c r="AF252" s="5">
        <v>0</v>
      </c>
      <c r="AG252" s="5">
        <v>0</v>
      </c>
      <c r="AH252" s="5">
        <v>0</v>
      </c>
      <c r="AI252" s="6" t="s">
        <v>43</v>
      </c>
      <c r="AJ252" s="7">
        <v>7</v>
      </c>
    </row>
    <row r="253" spans="1:36" hidden="1" x14ac:dyDescent="0.3">
      <c r="A253" s="4" t="s">
        <v>36</v>
      </c>
      <c r="B253" s="4" t="s">
        <v>37</v>
      </c>
      <c r="C253" s="4" t="s">
        <v>582</v>
      </c>
      <c r="D253" s="4" t="s">
        <v>583</v>
      </c>
      <c r="E253" s="4" t="s">
        <v>46</v>
      </c>
      <c r="F253" s="4" t="s">
        <v>51</v>
      </c>
      <c r="G253" s="4" t="s">
        <v>52</v>
      </c>
      <c r="H253" s="5">
        <v>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1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1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6" t="s">
        <v>43</v>
      </c>
      <c r="AJ253" s="7">
        <v>3</v>
      </c>
    </row>
    <row r="254" spans="1:36" hidden="1" x14ac:dyDescent="0.3">
      <c r="A254" s="4" t="s">
        <v>36</v>
      </c>
      <c r="B254" s="4" t="s">
        <v>37</v>
      </c>
      <c r="C254" s="4" t="s">
        <v>584</v>
      </c>
      <c r="D254" s="4" t="s">
        <v>585</v>
      </c>
      <c r="E254" s="4" t="s">
        <v>46</v>
      </c>
      <c r="F254" s="4" t="s">
        <v>168</v>
      </c>
      <c r="G254" s="4" t="s">
        <v>52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1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6" t="s">
        <v>53</v>
      </c>
      <c r="AJ254" s="7">
        <v>1</v>
      </c>
    </row>
    <row r="255" spans="1:36" hidden="1" x14ac:dyDescent="0.3">
      <c r="A255" s="4" t="s">
        <v>36</v>
      </c>
      <c r="B255" s="4" t="s">
        <v>37</v>
      </c>
      <c r="C255" s="4" t="s">
        <v>586</v>
      </c>
      <c r="D255" s="4" t="s">
        <v>587</v>
      </c>
      <c r="E255" s="4" t="s">
        <v>46</v>
      </c>
      <c r="F255" s="4" t="s">
        <v>168</v>
      </c>
      <c r="G255" s="4" t="s">
        <v>52</v>
      </c>
      <c r="H255" s="5">
        <v>1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1</v>
      </c>
      <c r="AH255" s="5">
        <v>0</v>
      </c>
      <c r="AI255" s="6" t="s">
        <v>53</v>
      </c>
      <c r="AJ255" s="7">
        <v>2</v>
      </c>
    </row>
    <row r="256" spans="1:36" hidden="1" x14ac:dyDescent="0.3">
      <c r="A256" s="4" t="s">
        <v>36</v>
      </c>
      <c r="B256" s="4" t="s">
        <v>37</v>
      </c>
      <c r="C256" s="4" t="s">
        <v>588</v>
      </c>
      <c r="D256" s="4" t="s">
        <v>589</v>
      </c>
      <c r="E256" s="4" t="s">
        <v>214</v>
      </c>
      <c r="F256" s="4" t="s">
        <v>215</v>
      </c>
      <c r="G256" s="4" t="s">
        <v>42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1</v>
      </c>
      <c r="AF256" s="5">
        <v>0</v>
      </c>
      <c r="AG256" s="5">
        <v>0</v>
      </c>
      <c r="AH256" s="5">
        <v>0</v>
      </c>
      <c r="AI256" s="6" t="s">
        <v>53</v>
      </c>
      <c r="AJ256" s="7">
        <v>1</v>
      </c>
    </row>
    <row r="257" spans="1:36" hidden="1" x14ac:dyDescent="0.3">
      <c r="A257" s="4" t="s">
        <v>36</v>
      </c>
      <c r="B257" s="4" t="s">
        <v>37</v>
      </c>
      <c r="C257" s="4" t="s">
        <v>590</v>
      </c>
      <c r="D257" s="4" t="s">
        <v>591</v>
      </c>
      <c r="E257" s="4" t="s">
        <v>46</v>
      </c>
      <c r="F257" s="4" t="s">
        <v>59</v>
      </c>
      <c r="G257" s="4" t="s">
        <v>60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1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6" t="s">
        <v>53</v>
      </c>
      <c r="AJ257" s="7">
        <v>1</v>
      </c>
    </row>
    <row r="258" spans="1:36" hidden="1" x14ac:dyDescent="0.3">
      <c r="A258" s="4" t="s">
        <v>36</v>
      </c>
      <c r="B258" s="4" t="s">
        <v>37</v>
      </c>
      <c r="C258" s="4" t="s">
        <v>592</v>
      </c>
      <c r="D258" s="4" t="s">
        <v>593</v>
      </c>
      <c r="E258" s="4" t="s">
        <v>46</v>
      </c>
      <c r="F258" s="4" t="s">
        <v>59</v>
      </c>
      <c r="G258" s="4" t="s">
        <v>60</v>
      </c>
      <c r="H258" s="5">
        <v>1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6" t="s">
        <v>53</v>
      </c>
      <c r="AJ258" s="7">
        <v>2</v>
      </c>
    </row>
    <row r="259" spans="1:36" hidden="1" x14ac:dyDescent="0.3">
      <c r="A259" s="4" t="s">
        <v>36</v>
      </c>
      <c r="B259" s="4" t="s">
        <v>37</v>
      </c>
      <c r="C259" s="4" t="s">
        <v>594</v>
      </c>
      <c r="D259" s="4" t="s">
        <v>595</v>
      </c>
      <c r="E259" s="4" t="s">
        <v>46</v>
      </c>
      <c r="F259" s="4" t="s">
        <v>83</v>
      </c>
      <c r="G259" s="4" t="s">
        <v>52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1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6" t="s">
        <v>53</v>
      </c>
      <c r="AJ259" s="7">
        <v>1</v>
      </c>
    </row>
    <row r="260" spans="1:36" hidden="1" x14ac:dyDescent="0.3">
      <c r="A260" s="4" t="s">
        <v>36</v>
      </c>
      <c r="B260" s="4" t="s">
        <v>37</v>
      </c>
      <c r="C260" s="4" t="s">
        <v>596</v>
      </c>
      <c r="D260" s="4" t="s">
        <v>597</v>
      </c>
      <c r="E260" s="4" t="s">
        <v>46</v>
      </c>
      <c r="F260" s="4" t="s">
        <v>72</v>
      </c>
      <c r="G260" s="4" t="s">
        <v>52</v>
      </c>
      <c r="H260" s="5">
        <v>1</v>
      </c>
      <c r="I260" s="5">
        <v>0</v>
      </c>
      <c r="J260" s="5">
        <v>1</v>
      </c>
      <c r="K260" s="5">
        <v>0</v>
      </c>
      <c r="L260" s="5">
        <v>1</v>
      </c>
      <c r="M260" s="5">
        <v>0</v>
      </c>
      <c r="N260" s="5">
        <v>1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1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1</v>
      </c>
      <c r="AF260" s="5">
        <v>0</v>
      </c>
      <c r="AG260" s="5">
        <v>0</v>
      </c>
      <c r="AH260" s="5">
        <v>0</v>
      </c>
      <c r="AI260" s="6" t="s">
        <v>43</v>
      </c>
      <c r="AJ260" s="7">
        <v>6</v>
      </c>
    </row>
    <row r="261" spans="1:36" hidden="1" x14ac:dyDescent="0.3">
      <c r="A261" s="4" t="s">
        <v>36</v>
      </c>
      <c r="B261" s="4" t="s">
        <v>37</v>
      </c>
      <c r="C261" s="4" t="s">
        <v>598</v>
      </c>
      <c r="D261" s="4" t="s">
        <v>599</v>
      </c>
      <c r="E261" s="4" t="s">
        <v>46</v>
      </c>
      <c r="F261" s="4" t="s">
        <v>168</v>
      </c>
      <c r="G261" s="4" t="s">
        <v>52</v>
      </c>
      <c r="H261" s="5">
        <v>1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6" t="s">
        <v>53</v>
      </c>
      <c r="AJ261" s="7">
        <v>1</v>
      </c>
    </row>
    <row r="262" spans="1:36" hidden="1" x14ac:dyDescent="0.3">
      <c r="A262" s="4" t="s">
        <v>36</v>
      </c>
      <c r="B262" s="4" t="s">
        <v>37</v>
      </c>
      <c r="C262" s="4" t="s">
        <v>600</v>
      </c>
      <c r="D262" s="4" t="s">
        <v>601</v>
      </c>
      <c r="E262" s="4" t="s">
        <v>46</v>
      </c>
      <c r="F262" s="4" t="s">
        <v>80</v>
      </c>
      <c r="G262" s="4" t="s">
        <v>64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1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1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6" t="s">
        <v>43</v>
      </c>
      <c r="AJ262" s="7">
        <v>2</v>
      </c>
    </row>
    <row r="263" spans="1:36" hidden="1" x14ac:dyDescent="0.3">
      <c r="A263" s="4" t="s">
        <v>36</v>
      </c>
      <c r="B263" s="4" t="s">
        <v>37</v>
      </c>
      <c r="C263" s="4" t="s">
        <v>602</v>
      </c>
      <c r="D263" s="4" t="s">
        <v>603</v>
      </c>
      <c r="E263" s="4" t="s">
        <v>46</v>
      </c>
      <c r="F263" s="4" t="s">
        <v>96</v>
      </c>
      <c r="G263" s="4" t="s">
        <v>64</v>
      </c>
      <c r="H263" s="5">
        <v>1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6" t="s">
        <v>53</v>
      </c>
      <c r="AJ263" s="7">
        <v>1</v>
      </c>
    </row>
    <row r="264" spans="1:36" hidden="1" x14ac:dyDescent="0.3">
      <c r="A264" s="4" t="s">
        <v>36</v>
      </c>
      <c r="B264" s="4" t="s">
        <v>37</v>
      </c>
      <c r="C264" s="4" t="s">
        <v>604</v>
      </c>
      <c r="D264" s="4" t="s">
        <v>605</v>
      </c>
      <c r="E264" s="4" t="s">
        <v>46</v>
      </c>
      <c r="F264" s="4" t="s">
        <v>59</v>
      </c>
      <c r="G264" s="4" t="s">
        <v>60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1</v>
      </c>
      <c r="AF264" s="5">
        <v>0</v>
      </c>
      <c r="AG264" s="5">
        <v>0</v>
      </c>
      <c r="AH264" s="5">
        <v>0</v>
      </c>
      <c r="AI264" s="6" t="s">
        <v>53</v>
      </c>
      <c r="AJ264" s="7">
        <v>1</v>
      </c>
    </row>
    <row r="265" spans="1:36" hidden="1" x14ac:dyDescent="0.3">
      <c r="A265" s="4" t="s">
        <v>36</v>
      </c>
      <c r="B265" s="4" t="s">
        <v>37</v>
      </c>
      <c r="C265" s="4" t="s">
        <v>606</v>
      </c>
      <c r="D265" s="4" t="s">
        <v>607</v>
      </c>
      <c r="E265" s="4" t="s">
        <v>46</v>
      </c>
      <c r="F265" s="4" t="s">
        <v>59</v>
      </c>
      <c r="G265" s="4" t="s">
        <v>60</v>
      </c>
      <c r="H265" s="5">
        <v>1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6" t="s">
        <v>53</v>
      </c>
      <c r="AJ265" s="7">
        <v>1</v>
      </c>
    </row>
    <row r="266" spans="1:36" hidden="1" x14ac:dyDescent="0.3">
      <c r="A266" s="4" t="s">
        <v>36</v>
      </c>
      <c r="B266" s="4" t="s">
        <v>37</v>
      </c>
      <c r="C266" s="4" t="s">
        <v>608</v>
      </c>
      <c r="D266" s="4" t="s">
        <v>609</v>
      </c>
      <c r="E266" s="4" t="s">
        <v>46</v>
      </c>
      <c r="F266" s="4" t="s">
        <v>80</v>
      </c>
      <c r="G266" s="4" t="s">
        <v>64</v>
      </c>
      <c r="H266" s="5">
        <v>1</v>
      </c>
      <c r="I266" s="5">
        <v>1</v>
      </c>
      <c r="J266" s="5">
        <v>1</v>
      </c>
      <c r="K266" s="5">
        <v>0</v>
      </c>
      <c r="L266" s="5">
        <v>0</v>
      </c>
      <c r="M266" s="5">
        <v>0</v>
      </c>
      <c r="N266" s="5">
        <v>1</v>
      </c>
      <c r="O266" s="5">
        <v>0</v>
      </c>
      <c r="P266" s="5">
        <v>0</v>
      </c>
      <c r="Q266" s="5">
        <v>1</v>
      </c>
      <c r="R266" s="5">
        <v>0</v>
      </c>
      <c r="S266" s="5">
        <v>1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1</v>
      </c>
      <c r="AF266" s="5">
        <v>0</v>
      </c>
      <c r="AG266" s="5">
        <v>0</v>
      </c>
      <c r="AH266" s="5">
        <v>0</v>
      </c>
      <c r="AI266" s="6" t="s">
        <v>53</v>
      </c>
      <c r="AJ266" s="7">
        <v>7</v>
      </c>
    </row>
    <row r="267" spans="1:36" hidden="1" x14ac:dyDescent="0.3">
      <c r="A267" s="4" t="s">
        <v>36</v>
      </c>
      <c r="B267" s="4" t="s">
        <v>37</v>
      </c>
      <c r="C267" s="4" t="s">
        <v>610</v>
      </c>
      <c r="D267" s="4" t="s">
        <v>611</v>
      </c>
      <c r="E267" s="4" t="s">
        <v>46</v>
      </c>
      <c r="F267" s="4" t="s">
        <v>96</v>
      </c>
      <c r="G267" s="4" t="s">
        <v>64</v>
      </c>
      <c r="H267" s="5">
        <v>1</v>
      </c>
      <c r="I267" s="5">
        <v>0</v>
      </c>
      <c r="J267" s="5">
        <v>0</v>
      </c>
      <c r="K267" s="5">
        <v>1</v>
      </c>
      <c r="L267" s="5">
        <v>1</v>
      </c>
      <c r="M267" s="5">
        <v>1</v>
      </c>
      <c r="N267" s="5">
        <v>1</v>
      </c>
      <c r="O267" s="5">
        <v>0</v>
      </c>
      <c r="P267" s="5">
        <v>0</v>
      </c>
      <c r="Q267" s="5">
        <v>1</v>
      </c>
      <c r="R267" s="5">
        <v>0</v>
      </c>
      <c r="S267" s="5">
        <v>0</v>
      </c>
      <c r="T267" s="5">
        <v>0</v>
      </c>
      <c r="U267" s="5">
        <v>0</v>
      </c>
      <c r="V267" s="5">
        <v>1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1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1</v>
      </c>
      <c r="AI267" s="6" t="s">
        <v>43</v>
      </c>
      <c r="AJ267" s="7">
        <v>9</v>
      </c>
    </row>
    <row r="268" spans="1:36" hidden="1" x14ac:dyDescent="0.3">
      <c r="A268" s="4" t="s">
        <v>36</v>
      </c>
      <c r="B268" s="4" t="s">
        <v>37</v>
      </c>
      <c r="C268" s="4" t="s">
        <v>612</v>
      </c>
      <c r="D268" s="4" t="s">
        <v>613</v>
      </c>
      <c r="E268" s="4" t="s">
        <v>214</v>
      </c>
      <c r="F268" s="4" t="s">
        <v>215</v>
      </c>
      <c r="G268" s="4" t="s">
        <v>42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6" t="s">
        <v>53</v>
      </c>
      <c r="AJ268" s="7">
        <v>0</v>
      </c>
    </row>
    <row r="269" spans="1:36" hidden="1" x14ac:dyDescent="0.3">
      <c r="A269" s="4" t="s">
        <v>36</v>
      </c>
      <c r="B269" s="4" t="s">
        <v>37</v>
      </c>
      <c r="C269" s="4" t="s">
        <v>614</v>
      </c>
      <c r="D269" s="4" t="s">
        <v>615</v>
      </c>
      <c r="E269" s="4" t="s">
        <v>46</v>
      </c>
      <c r="F269" s="4" t="s">
        <v>51</v>
      </c>
      <c r="G269" s="4" t="s">
        <v>52</v>
      </c>
      <c r="H269" s="5">
        <v>1</v>
      </c>
      <c r="I269" s="5">
        <v>1</v>
      </c>
      <c r="J269" s="5">
        <v>1</v>
      </c>
      <c r="K269" s="5">
        <v>1</v>
      </c>
      <c r="L269" s="5">
        <v>0</v>
      </c>
      <c r="M269" s="5">
        <v>0</v>
      </c>
      <c r="N269" s="5">
        <v>1</v>
      </c>
      <c r="O269" s="5">
        <v>0</v>
      </c>
      <c r="P269" s="5">
        <v>0</v>
      </c>
      <c r="Q269" s="5">
        <v>1</v>
      </c>
      <c r="R269" s="5">
        <v>0</v>
      </c>
      <c r="S269" s="5">
        <v>0</v>
      </c>
      <c r="T269" s="5">
        <v>1</v>
      </c>
      <c r="U269" s="5">
        <v>1</v>
      </c>
      <c r="V269" s="5">
        <v>1</v>
      </c>
      <c r="W269" s="5">
        <v>0</v>
      </c>
      <c r="X269" s="5">
        <v>0</v>
      </c>
      <c r="Y269" s="5">
        <v>1</v>
      </c>
      <c r="Z269" s="5">
        <v>0</v>
      </c>
      <c r="AA269" s="5">
        <v>0</v>
      </c>
      <c r="AB269" s="5">
        <v>1</v>
      </c>
      <c r="AC269" s="5">
        <v>0</v>
      </c>
      <c r="AD269" s="5">
        <v>0</v>
      </c>
      <c r="AE269" s="5">
        <v>1</v>
      </c>
      <c r="AF269" s="5">
        <v>0</v>
      </c>
      <c r="AG269" s="5">
        <v>0</v>
      </c>
      <c r="AH269" s="5">
        <v>0</v>
      </c>
      <c r="AI269" s="6" t="s">
        <v>43</v>
      </c>
      <c r="AJ269" s="7">
        <v>12</v>
      </c>
    </row>
    <row r="270" spans="1:36" hidden="1" x14ac:dyDescent="0.3">
      <c r="A270" s="4" t="s">
        <v>36</v>
      </c>
      <c r="B270" s="4" t="s">
        <v>37</v>
      </c>
      <c r="C270" s="4" t="s">
        <v>616</v>
      </c>
      <c r="D270" s="4" t="s">
        <v>617</v>
      </c>
      <c r="E270" s="4" t="s">
        <v>46</v>
      </c>
      <c r="F270" s="4" t="s">
        <v>51</v>
      </c>
      <c r="G270" s="4" t="s">
        <v>52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1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6" t="s">
        <v>53</v>
      </c>
      <c r="AJ270" s="7">
        <v>1</v>
      </c>
    </row>
    <row r="271" spans="1:36" hidden="1" x14ac:dyDescent="0.3">
      <c r="A271" s="4" t="s">
        <v>36</v>
      </c>
      <c r="B271" s="4" t="s">
        <v>37</v>
      </c>
      <c r="C271" s="4" t="s">
        <v>618</v>
      </c>
      <c r="D271" s="4" t="s">
        <v>619</v>
      </c>
      <c r="E271" s="4" t="s">
        <v>46</v>
      </c>
      <c r="F271" s="4" t="s">
        <v>93</v>
      </c>
      <c r="G271" s="4" t="s">
        <v>42</v>
      </c>
      <c r="H271" s="5">
        <v>1</v>
      </c>
      <c r="I271" s="5">
        <v>0</v>
      </c>
      <c r="J271" s="5">
        <v>0</v>
      </c>
      <c r="K271" s="5">
        <v>0</v>
      </c>
      <c r="L271" s="5">
        <v>1</v>
      </c>
      <c r="M271" s="5">
        <v>0</v>
      </c>
      <c r="N271" s="5">
        <v>1</v>
      </c>
      <c r="O271" s="5">
        <v>0</v>
      </c>
      <c r="P271" s="5">
        <v>1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6" t="s">
        <v>53</v>
      </c>
      <c r="AJ271" s="7">
        <v>4</v>
      </c>
    </row>
    <row r="272" spans="1:36" hidden="1" x14ac:dyDescent="0.3">
      <c r="A272" s="4" t="s">
        <v>36</v>
      </c>
      <c r="B272" s="4" t="s">
        <v>37</v>
      </c>
      <c r="C272" s="4" t="s">
        <v>620</v>
      </c>
      <c r="D272" s="4" t="s">
        <v>621</v>
      </c>
      <c r="E272" s="4" t="s">
        <v>46</v>
      </c>
      <c r="F272" s="4" t="s">
        <v>51</v>
      </c>
      <c r="G272" s="4" t="s">
        <v>52</v>
      </c>
      <c r="H272" s="5">
        <v>1</v>
      </c>
      <c r="I272" s="5">
        <v>0</v>
      </c>
      <c r="J272" s="5">
        <v>0</v>
      </c>
      <c r="K272" s="5">
        <v>1</v>
      </c>
      <c r="L272" s="5">
        <v>1</v>
      </c>
      <c r="M272" s="5">
        <v>0</v>
      </c>
      <c r="N272" s="5">
        <v>1</v>
      </c>
      <c r="O272" s="5">
        <v>1</v>
      </c>
      <c r="P272" s="5">
        <v>0</v>
      </c>
      <c r="Q272" s="5">
        <v>1</v>
      </c>
      <c r="R272" s="5">
        <v>0</v>
      </c>
      <c r="S272" s="5">
        <v>0</v>
      </c>
      <c r="T272" s="5">
        <v>1</v>
      </c>
      <c r="U272" s="5">
        <v>1</v>
      </c>
      <c r="V272" s="5">
        <v>0</v>
      </c>
      <c r="W272" s="5">
        <v>1</v>
      </c>
      <c r="X272" s="5">
        <v>0</v>
      </c>
      <c r="Y272" s="5">
        <v>1</v>
      </c>
      <c r="Z272" s="5">
        <v>0</v>
      </c>
      <c r="AA272" s="5">
        <v>1</v>
      </c>
      <c r="AB272" s="5">
        <v>1</v>
      </c>
      <c r="AC272" s="5">
        <v>0</v>
      </c>
      <c r="AD272" s="5">
        <v>1</v>
      </c>
      <c r="AE272" s="5">
        <v>0</v>
      </c>
      <c r="AF272" s="5">
        <v>0</v>
      </c>
      <c r="AG272" s="5">
        <v>0</v>
      </c>
      <c r="AH272" s="5">
        <v>0</v>
      </c>
      <c r="AI272" s="6" t="s">
        <v>43</v>
      </c>
      <c r="AJ272" s="7">
        <v>13</v>
      </c>
    </row>
    <row r="273" spans="1:36" hidden="1" x14ac:dyDescent="0.3">
      <c r="A273" s="4" t="s">
        <v>36</v>
      </c>
      <c r="B273" s="4" t="s">
        <v>37</v>
      </c>
      <c r="C273" s="4" t="s">
        <v>622</v>
      </c>
      <c r="D273" s="4" t="s">
        <v>623</v>
      </c>
      <c r="E273" s="4" t="s">
        <v>46</v>
      </c>
      <c r="F273" s="4" t="s">
        <v>59</v>
      </c>
      <c r="G273" s="4" t="s">
        <v>60</v>
      </c>
      <c r="H273" s="5">
        <v>0</v>
      </c>
      <c r="I273" s="5">
        <v>1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6" t="s">
        <v>53</v>
      </c>
      <c r="AJ273" s="7">
        <v>1</v>
      </c>
    </row>
    <row r="274" spans="1:36" hidden="1" x14ac:dyDescent="0.3">
      <c r="A274" s="4" t="s">
        <v>36</v>
      </c>
      <c r="B274" s="4" t="s">
        <v>37</v>
      </c>
      <c r="C274" s="4" t="s">
        <v>624</v>
      </c>
      <c r="D274" s="4" t="s">
        <v>625</v>
      </c>
      <c r="E274" s="4" t="s">
        <v>46</v>
      </c>
      <c r="F274" s="4" t="s">
        <v>125</v>
      </c>
      <c r="G274" s="4" t="s">
        <v>60</v>
      </c>
      <c r="H274" s="5">
        <v>1</v>
      </c>
      <c r="I274" s="5">
        <v>1</v>
      </c>
      <c r="J274" s="5">
        <v>0</v>
      </c>
      <c r="K274" s="5">
        <v>1</v>
      </c>
      <c r="L274" s="5">
        <v>1</v>
      </c>
      <c r="M274" s="5">
        <v>0</v>
      </c>
      <c r="N274" s="5">
        <v>1</v>
      </c>
      <c r="O274" s="5">
        <v>0</v>
      </c>
      <c r="P274" s="5">
        <v>0</v>
      </c>
      <c r="Q274" s="5">
        <v>1</v>
      </c>
      <c r="R274" s="5">
        <v>0</v>
      </c>
      <c r="S274" s="5">
        <v>0</v>
      </c>
      <c r="T274" s="5">
        <v>0</v>
      </c>
      <c r="U274" s="5">
        <v>1</v>
      </c>
      <c r="V274" s="5">
        <v>0</v>
      </c>
      <c r="W274" s="5">
        <v>1</v>
      </c>
      <c r="X274" s="5">
        <v>1</v>
      </c>
      <c r="Y274" s="5">
        <v>0</v>
      </c>
      <c r="Z274" s="5">
        <v>0</v>
      </c>
      <c r="AA274" s="5">
        <v>0</v>
      </c>
      <c r="AB274" s="5">
        <v>1</v>
      </c>
      <c r="AC274" s="5">
        <v>0</v>
      </c>
      <c r="AD274" s="5">
        <v>0</v>
      </c>
      <c r="AE274" s="5">
        <v>1</v>
      </c>
      <c r="AF274" s="5">
        <v>0</v>
      </c>
      <c r="AG274" s="5">
        <v>0</v>
      </c>
      <c r="AH274" s="5">
        <v>1</v>
      </c>
      <c r="AI274" s="6" t="s">
        <v>43</v>
      </c>
      <c r="AJ274" s="7">
        <v>12</v>
      </c>
    </row>
    <row r="275" spans="1:36" hidden="1" x14ac:dyDescent="0.3">
      <c r="A275" s="4" t="s">
        <v>36</v>
      </c>
      <c r="B275" s="4" t="s">
        <v>37</v>
      </c>
      <c r="C275" s="4" t="s">
        <v>626</v>
      </c>
      <c r="D275" s="4" t="s">
        <v>627</v>
      </c>
      <c r="E275" s="4" t="s">
        <v>40</v>
      </c>
      <c r="F275" s="4" t="s">
        <v>80</v>
      </c>
      <c r="G275" s="4" t="s">
        <v>64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1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1</v>
      </c>
      <c r="AF275" s="5">
        <v>0</v>
      </c>
      <c r="AG275" s="5">
        <v>0</v>
      </c>
      <c r="AH275" s="5">
        <v>0</v>
      </c>
      <c r="AI275" s="6" t="s">
        <v>53</v>
      </c>
      <c r="AJ275" s="7">
        <v>2</v>
      </c>
    </row>
    <row r="276" spans="1:36" hidden="1" x14ac:dyDescent="0.3">
      <c r="A276" s="4" t="s">
        <v>36</v>
      </c>
      <c r="B276" s="4" t="s">
        <v>37</v>
      </c>
      <c r="C276" s="4" t="s">
        <v>628</v>
      </c>
      <c r="D276" s="4" t="s">
        <v>629</v>
      </c>
      <c r="E276" s="4" t="s">
        <v>46</v>
      </c>
      <c r="F276" s="4" t="s">
        <v>215</v>
      </c>
      <c r="G276" s="4" t="s">
        <v>42</v>
      </c>
      <c r="H276" s="5">
        <v>1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1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6" t="s">
        <v>53</v>
      </c>
      <c r="AJ276" s="7">
        <v>2</v>
      </c>
    </row>
    <row r="277" spans="1:36" hidden="1" x14ac:dyDescent="0.3">
      <c r="A277" s="4" t="s">
        <v>36</v>
      </c>
      <c r="B277" s="4" t="s">
        <v>37</v>
      </c>
      <c r="C277" s="4" t="s">
        <v>630</v>
      </c>
      <c r="D277" s="4" t="s">
        <v>631</v>
      </c>
      <c r="E277" s="4" t="s">
        <v>46</v>
      </c>
      <c r="F277" s="4" t="s">
        <v>72</v>
      </c>
      <c r="G277" s="4" t="s">
        <v>52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1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6" t="s">
        <v>53</v>
      </c>
      <c r="AJ277" s="7">
        <v>2</v>
      </c>
    </row>
    <row r="278" spans="1:36" hidden="1" x14ac:dyDescent="0.3">
      <c r="A278" s="4" t="s">
        <v>36</v>
      </c>
      <c r="B278" s="4" t="s">
        <v>37</v>
      </c>
      <c r="C278" s="4" t="s">
        <v>633</v>
      </c>
      <c r="D278" s="4" t="s">
        <v>634</v>
      </c>
      <c r="E278" s="4" t="s">
        <v>214</v>
      </c>
      <c r="F278" s="4" t="s">
        <v>215</v>
      </c>
      <c r="G278" s="4" t="s">
        <v>42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1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6" t="s">
        <v>53</v>
      </c>
      <c r="AJ278" s="7">
        <v>1</v>
      </c>
    </row>
    <row r="279" spans="1:36" hidden="1" x14ac:dyDescent="0.3">
      <c r="A279" s="4" t="s">
        <v>36</v>
      </c>
      <c r="B279" s="4" t="s">
        <v>37</v>
      </c>
      <c r="C279" s="4" t="s">
        <v>635</v>
      </c>
      <c r="D279" s="4" t="s">
        <v>636</v>
      </c>
      <c r="E279" s="4" t="s">
        <v>46</v>
      </c>
      <c r="F279" s="4" t="s">
        <v>96</v>
      </c>
      <c r="G279" s="4" t="s">
        <v>64</v>
      </c>
      <c r="H279" s="5">
        <v>0</v>
      </c>
      <c r="I279" s="5">
        <v>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1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6" t="s">
        <v>43</v>
      </c>
      <c r="AJ279" s="7">
        <v>2</v>
      </c>
    </row>
    <row r="280" spans="1:36" hidden="1" x14ac:dyDescent="0.3">
      <c r="A280" s="4" t="s">
        <v>36</v>
      </c>
      <c r="B280" s="4" t="s">
        <v>37</v>
      </c>
      <c r="C280" s="4" t="s">
        <v>637</v>
      </c>
      <c r="D280" s="4" t="s">
        <v>638</v>
      </c>
      <c r="E280" s="4" t="s">
        <v>46</v>
      </c>
      <c r="F280" s="4" t="s">
        <v>83</v>
      </c>
      <c r="G280" s="4" t="s">
        <v>52</v>
      </c>
      <c r="H280" s="5">
        <v>1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5">
        <v>1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1</v>
      </c>
      <c r="AF280" s="5">
        <v>0</v>
      </c>
      <c r="AG280" s="5">
        <v>0</v>
      </c>
      <c r="AH280" s="5">
        <v>0</v>
      </c>
      <c r="AI280" s="6" t="s">
        <v>53</v>
      </c>
      <c r="AJ280" s="7">
        <v>4</v>
      </c>
    </row>
    <row r="281" spans="1:36" hidden="1" x14ac:dyDescent="0.3">
      <c r="A281" s="4" t="s">
        <v>36</v>
      </c>
      <c r="B281" s="4" t="s">
        <v>37</v>
      </c>
      <c r="C281" s="4" t="s">
        <v>639</v>
      </c>
      <c r="D281" s="4" t="s">
        <v>640</v>
      </c>
      <c r="E281" s="4" t="s">
        <v>46</v>
      </c>
      <c r="F281" s="4" t="s">
        <v>51</v>
      </c>
      <c r="G281" s="4" t="s">
        <v>52</v>
      </c>
      <c r="H281" s="5">
        <v>1</v>
      </c>
      <c r="I281" s="5">
        <v>1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1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6" t="s">
        <v>53</v>
      </c>
      <c r="AJ281" s="7">
        <v>4</v>
      </c>
    </row>
    <row r="282" spans="1:36" hidden="1" x14ac:dyDescent="0.3">
      <c r="A282" s="4" t="s">
        <v>36</v>
      </c>
      <c r="B282" s="4" t="s">
        <v>37</v>
      </c>
      <c r="C282" s="4" t="s">
        <v>641</v>
      </c>
      <c r="D282" s="4" t="s">
        <v>642</v>
      </c>
      <c r="E282" s="4" t="s">
        <v>46</v>
      </c>
      <c r="F282" s="4" t="s">
        <v>59</v>
      </c>
      <c r="G282" s="4" t="s">
        <v>60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1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6" t="s">
        <v>53</v>
      </c>
      <c r="AJ282" s="7">
        <v>3</v>
      </c>
    </row>
    <row r="283" spans="1:36" hidden="1" x14ac:dyDescent="0.3">
      <c r="A283" s="4" t="s">
        <v>36</v>
      </c>
      <c r="B283" s="4" t="s">
        <v>37</v>
      </c>
      <c r="C283" s="4" t="s">
        <v>643</v>
      </c>
      <c r="D283" s="4" t="s">
        <v>644</v>
      </c>
      <c r="E283" s="4" t="s">
        <v>46</v>
      </c>
      <c r="F283" s="4" t="s">
        <v>86</v>
      </c>
      <c r="G283" s="4" t="s">
        <v>42</v>
      </c>
      <c r="H283" s="5">
        <v>1</v>
      </c>
      <c r="I283" s="5">
        <v>1</v>
      </c>
      <c r="J283" s="5">
        <v>1</v>
      </c>
      <c r="K283" s="5">
        <v>0</v>
      </c>
      <c r="L283" s="5">
        <v>1</v>
      </c>
      <c r="M283" s="5">
        <v>0</v>
      </c>
      <c r="N283" s="5">
        <v>1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1</v>
      </c>
      <c r="AC283" s="5">
        <v>0</v>
      </c>
      <c r="AD283" s="5">
        <v>0</v>
      </c>
      <c r="AE283" s="5">
        <v>1</v>
      </c>
      <c r="AF283" s="5">
        <v>0</v>
      </c>
      <c r="AG283" s="5">
        <v>0</v>
      </c>
      <c r="AH283" s="5">
        <v>0</v>
      </c>
      <c r="AI283" s="6" t="s">
        <v>43</v>
      </c>
      <c r="AJ283" s="7">
        <v>7</v>
      </c>
    </row>
    <row r="284" spans="1:36" hidden="1" x14ac:dyDescent="0.3">
      <c r="A284" s="4" t="s">
        <v>36</v>
      </c>
      <c r="B284" s="4" t="s">
        <v>37</v>
      </c>
      <c r="C284" s="4" t="s">
        <v>645</v>
      </c>
      <c r="D284" s="4" t="s">
        <v>646</v>
      </c>
      <c r="E284" s="4" t="s">
        <v>46</v>
      </c>
      <c r="F284" s="4" t="s">
        <v>72</v>
      </c>
      <c r="G284" s="4" t="s">
        <v>52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1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6" t="s">
        <v>53</v>
      </c>
      <c r="AJ284" s="7">
        <v>1</v>
      </c>
    </row>
    <row r="285" spans="1:36" hidden="1" x14ac:dyDescent="0.3">
      <c r="A285" s="4" t="s">
        <v>36</v>
      </c>
      <c r="B285" s="4" t="s">
        <v>37</v>
      </c>
      <c r="C285" s="4" t="s">
        <v>648</v>
      </c>
      <c r="D285" s="4" t="s">
        <v>649</v>
      </c>
      <c r="E285" s="4" t="s">
        <v>46</v>
      </c>
      <c r="F285" s="4" t="s">
        <v>86</v>
      </c>
      <c r="G285" s="4" t="s">
        <v>42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1</v>
      </c>
      <c r="AB285" s="5">
        <v>1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6" t="s">
        <v>43</v>
      </c>
      <c r="AJ285" s="7">
        <v>2</v>
      </c>
    </row>
    <row r="286" spans="1:36" hidden="1" x14ac:dyDescent="0.3">
      <c r="A286" s="4" t="s">
        <v>36</v>
      </c>
      <c r="B286" s="4" t="s">
        <v>37</v>
      </c>
      <c r="C286" s="4" t="s">
        <v>650</v>
      </c>
      <c r="D286" s="4" t="s">
        <v>651</v>
      </c>
      <c r="E286" s="4" t="s">
        <v>46</v>
      </c>
      <c r="F286" s="4" t="s">
        <v>165</v>
      </c>
      <c r="G286" s="4" t="s">
        <v>64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1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6" t="s">
        <v>53</v>
      </c>
      <c r="AJ286" s="7">
        <v>1</v>
      </c>
    </row>
    <row r="287" spans="1:36" hidden="1" x14ac:dyDescent="0.3">
      <c r="A287" s="4" t="s">
        <v>36</v>
      </c>
      <c r="B287" s="4" t="s">
        <v>37</v>
      </c>
      <c r="C287" s="4" t="s">
        <v>652</v>
      </c>
      <c r="D287" s="4" t="s">
        <v>653</v>
      </c>
      <c r="E287" s="4" t="s">
        <v>46</v>
      </c>
      <c r="F287" s="4" t="s">
        <v>72</v>
      </c>
      <c r="G287" s="4" t="s">
        <v>52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1</v>
      </c>
      <c r="AF287" s="5">
        <v>0</v>
      </c>
      <c r="AG287" s="5">
        <v>0</v>
      </c>
      <c r="AH287" s="5">
        <v>0</v>
      </c>
      <c r="AI287" s="6" t="s">
        <v>43</v>
      </c>
      <c r="AJ287" s="7">
        <v>1</v>
      </c>
    </row>
    <row r="288" spans="1:36" hidden="1" x14ac:dyDescent="0.3">
      <c r="A288" s="4" t="s">
        <v>36</v>
      </c>
      <c r="B288" s="4" t="s">
        <v>37</v>
      </c>
      <c r="C288" s="4" t="s">
        <v>654</v>
      </c>
      <c r="D288" s="4" t="s">
        <v>655</v>
      </c>
      <c r="E288" s="4" t="s">
        <v>46</v>
      </c>
      <c r="F288" s="4" t="s">
        <v>96</v>
      </c>
      <c r="G288" s="4" t="s">
        <v>64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1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6" t="s">
        <v>53</v>
      </c>
      <c r="AJ288" s="7">
        <v>1</v>
      </c>
    </row>
    <row r="289" spans="1:36" hidden="1" x14ac:dyDescent="0.3">
      <c r="A289" s="4" t="s">
        <v>36</v>
      </c>
      <c r="B289" s="4" t="s">
        <v>37</v>
      </c>
      <c r="C289" s="4" t="s">
        <v>656</v>
      </c>
      <c r="D289" s="4" t="s">
        <v>657</v>
      </c>
      <c r="E289" s="4" t="s">
        <v>46</v>
      </c>
      <c r="F289" s="4" t="s">
        <v>51</v>
      </c>
      <c r="G289" s="4" t="s">
        <v>52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6" t="s">
        <v>53</v>
      </c>
      <c r="AJ289" s="7">
        <v>0</v>
      </c>
    </row>
    <row r="290" spans="1:36" hidden="1" x14ac:dyDescent="0.3">
      <c r="A290" s="4" t="s">
        <v>36</v>
      </c>
      <c r="B290" s="4" t="s">
        <v>37</v>
      </c>
      <c r="C290" s="4" t="s">
        <v>658</v>
      </c>
      <c r="D290" s="4" t="s">
        <v>659</v>
      </c>
      <c r="E290" s="4" t="s">
        <v>46</v>
      </c>
      <c r="F290" s="4" t="s">
        <v>59</v>
      </c>
      <c r="G290" s="4" t="s">
        <v>60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1</v>
      </c>
      <c r="AF290" s="5">
        <v>0</v>
      </c>
      <c r="AG290" s="5">
        <v>0</v>
      </c>
      <c r="AH290" s="5">
        <v>0</v>
      </c>
      <c r="AI290" s="6" t="s">
        <v>53</v>
      </c>
      <c r="AJ290" s="7">
        <v>1</v>
      </c>
    </row>
    <row r="291" spans="1:36" hidden="1" x14ac:dyDescent="0.3">
      <c r="A291" s="4" t="s">
        <v>36</v>
      </c>
      <c r="B291" s="4" t="s">
        <v>37</v>
      </c>
      <c r="C291" s="4" t="s">
        <v>660</v>
      </c>
      <c r="D291" s="4" t="s">
        <v>661</v>
      </c>
      <c r="E291" s="4" t="s">
        <v>46</v>
      </c>
      <c r="F291" s="4" t="s">
        <v>59</v>
      </c>
      <c r="G291" s="4" t="s">
        <v>60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1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1</v>
      </c>
      <c r="AI291" s="6" t="s">
        <v>43</v>
      </c>
      <c r="AJ291" s="7">
        <v>2</v>
      </c>
    </row>
    <row r="292" spans="1:36" hidden="1" x14ac:dyDescent="0.3">
      <c r="A292" s="4" t="s">
        <v>36</v>
      </c>
      <c r="B292" s="4" t="s">
        <v>37</v>
      </c>
      <c r="C292" s="4" t="s">
        <v>662</v>
      </c>
      <c r="D292" s="4" t="s">
        <v>663</v>
      </c>
      <c r="E292" s="4" t="s">
        <v>46</v>
      </c>
      <c r="F292" s="4" t="s">
        <v>93</v>
      </c>
      <c r="G292" s="4" t="s">
        <v>42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1</v>
      </c>
      <c r="AF292" s="5">
        <v>0</v>
      </c>
      <c r="AG292" s="5">
        <v>0</v>
      </c>
      <c r="AH292" s="5">
        <v>0</v>
      </c>
      <c r="AI292" s="6" t="s">
        <v>43</v>
      </c>
      <c r="AJ292" s="7">
        <v>1</v>
      </c>
    </row>
    <row r="293" spans="1:36" hidden="1" x14ac:dyDescent="0.3">
      <c r="A293" s="4" t="s">
        <v>36</v>
      </c>
      <c r="B293" s="4" t="s">
        <v>37</v>
      </c>
      <c r="C293" s="4" t="s">
        <v>664</v>
      </c>
      <c r="D293" s="4" t="s">
        <v>665</v>
      </c>
      <c r="E293" s="4" t="s">
        <v>46</v>
      </c>
      <c r="F293" s="4" t="s">
        <v>59</v>
      </c>
      <c r="G293" s="4" t="s">
        <v>60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1</v>
      </c>
      <c r="R293" s="5">
        <v>0</v>
      </c>
      <c r="S293" s="5">
        <v>0</v>
      </c>
      <c r="T293" s="5">
        <v>0</v>
      </c>
      <c r="U293" s="5">
        <v>1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6" t="s">
        <v>53</v>
      </c>
      <c r="AJ293" s="7">
        <v>2</v>
      </c>
    </row>
    <row r="294" spans="1:36" hidden="1" x14ac:dyDescent="0.3">
      <c r="A294" s="4" t="s">
        <v>36</v>
      </c>
      <c r="B294" s="4" t="s">
        <v>37</v>
      </c>
      <c r="C294" s="4" t="s">
        <v>666</v>
      </c>
      <c r="D294" s="4" t="s">
        <v>667</v>
      </c>
      <c r="E294" s="4" t="s">
        <v>214</v>
      </c>
      <c r="F294" s="4" t="s">
        <v>215</v>
      </c>
      <c r="G294" s="4" t="s">
        <v>42</v>
      </c>
      <c r="H294" s="5">
        <v>1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6" t="s">
        <v>53</v>
      </c>
      <c r="AJ294" s="7">
        <v>1</v>
      </c>
    </row>
    <row r="295" spans="1:36" hidden="1" x14ac:dyDescent="0.3">
      <c r="A295" s="4" t="s">
        <v>36</v>
      </c>
      <c r="B295" s="4" t="s">
        <v>37</v>
      </c>
      <c r="C295" s="4" t="s">
        <v>668</v>
      </c>
      <c r="D295" s="4" t="s">
        <v>669</v>
      </c>
      <c r="E295" s="4" t="s">
        <v>46</v>
      </c>
      <c r="F295" s="4" t="s">
        <v>77</v>
      </c>
      <c r="G295" s="4" t="s">
        <v>52</v>
      </c>
      <c r="H295" s="5">
        <v>0</v>
      </c>
      <c r="I295" s="5">
        <v>1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6" t="s">
        <v>53</v>
      </c>
      <c r="AJ295" s="7">
        <v>1</v>
      </c>
    </row>
    <row r="296" spans="1:36" hidden="1" x14ac:dyDescent="0.3">
      <c r="A296" s="4" t="s">
        <v>36</v>
      </c>
      <c r="B296" s="4" t="s">
        <v>37</v>
      </c>
      <c r="C296" s="4" t="s">
        <v>670</v>
      </c>
      <c r="D296" s="4" t="s">
        <v>671</v>
      </c>
      <c r="E296" s="4" t="s">
        <v>46</v>
      </c>
      <c r="F296" s="4" t="s">
        <v>96</v>
      </c>
      <c r="G296" s="4" t="s">
        <v>64</v>
      </c>
      <c r="H296" s="5">
        <v>0</v>
      </c>
      <c r="I296" s="5">
        <v>1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6" t="s">
        <v>53</v>
      </c>
      <c r="AJ296" s="7">
        <v>2</v>
      </c>
    </row>
    <row r="297" spans="1:36" hidden="1" x14ac:dyDescent="0.3">
      <c r="A297" s="4" t="s">
        <v>36</v>
      </c>
      <c r="B297" s="4" t="s">
        <v>37</v>
      </c>
      <c r="C297" s="4" t="s">
        <v>672</v>
      </c>
      <c r="D297" s="4" t="s">
        <v>673</v>
      </c>
      <c r="E297" s="4" t="s">
        <v>214</v>
      </c>
      <c r="F297" s="4" t="s">
        <v>215</v>
      </c>
      <c r="G297" s="4" t="s">
        <v>42</v>
      </c>
      <c r="H297" s="5">
        <v>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6" t="s">
        <v>53</v>
      </c>
      <c r="AJ297" s="7">
        <v>1</v>
      </c>
    </row>
    <row r="298" spans="1:36" hidden="1" x14ac:dyDescent="0.3">
      <c r="A298" s="4" t="s">
        <v>36</v>
      </c>
      <c r="B298" s="4" t="s">
        <v>37</v>
      </c>
      <c r="C298" s="4" t="s">
        <v>674</v>
      </c>
      <c r="D298" s="4" t="s">
        <v>675</v>
      </c>
      <c r="E298" s="4" t="s">
        <v>46</v>
      </c>
      <c r="F298" s="4" t="s">
        <v>59</v>
      </c>
      <c r="G298" s="4" t="s">
        <v>60</v>
      </c>
      <c r="H298" s="5">
        <v>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6" t="s">
        <v>53</v>
      </c>
      <c r="AJ298" s="7">
        <v>1</v>
      </c>
    </row>
    <row r="299" spans="1:36" hidden="1" x14ac:dyDescent="0.3">
      <c r="A299" s="4" t="s">
        <v>36</v>
      </c>
      <c r="B299" s="4" t="s">
        <v>37</v>
      </c>
      <c r="C299" s="4" t="s">
        <v>676</v>
      </c>
      <c r="D299" s="4" t="s">
        <v>677</v>
      </c>
      <c r="E299" s="4" t="s">
        <v>46</v>
      </c>
      <c r="F299" s="4" t="s">
        <v>59</v>
      </c>
      <c r="G299" s="4" t="s">
        <v>60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1</v>
      </c>
      <c r="AF299" s="5">
        <v>0</v>
      </c>
      <c r="AG299" s="5">
        <v>0</v>
      </c>
      <c r="AH299" s="5">
        <v>0</v>
      </c>
      <c r="AI299" s="6" t="s">
        <v>53</v>
      </c>
      <c r="AJ299" s="7">
        <v>1</v>
      </c>
    </row>
    <row r="300" spans="1:36" hidden="1" x14ac:dyDescent="0.3">
      <c r="A300" s="4" t="s">
        <v>36</v>
      </c>
      <c r="B300" s="4" t="s">
        <v>37</v>
      </c>
      <c r="C300" s="4" t="s">
        <v>678</v>
      </c>
      <c r="D300" s="4" t="s">
        <v>679</v>
      </c>
      <c r="E300" s="4" t="s">
        <v>46</v>
      </c>
      <c r="F300" s="4" t="s">
        <v>59</v>
      </c>
      <c r="G300" s="4" t="s">
        <v>60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1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6" t="s">
        <v>53</v>
      </c>
      <c r="AJ300" s="7">
        <v>2</v>
      </c>
    </row>
    <row r="301" spans="1:36" hidden="1" x14ac:dyDescent="0.3">
      <c r="A301" s="4" t="s">
        <v>36</v>
      </c>
      <c r="B301" s="4" t="s">
        <v>37</v>
      </c>
      <c r="C301" s="4" t="s">
        <v>680</v>
      </c>
      <c r="D301" s="4" t="s">
        <v>681</v>
      </c>
      <c r="E301" s="4" t="s">
        <v>46</v>
      </c>
      <c r="F301" s="4" t="s">
        <v>72</v>
      </c>
      <c r="G301" s="4" t="s">
        <v>52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1</v>
      </c>
      <c r="AF301" s="5">
        <v>0</v>
      </c>
      <c r="AG301" s="5">
        <v>0</v>
      </c>
      <c r="AH301" s="5">
        <v>0</v>
      </c>
      <c r="AI301" s="6" t="s">
        <v>53</v>
      </c>
      <c r="AJ301" s="7">
        <v>1</v>
      </c>
    </row>
    <row r="302" spans="1:36" hidden="1" x14ac:dyDescent="0.3">
      <c r="A302" s="4" t="s">
        <v>36</v>
      </c>
      <c r="B302" s="4" t="s">
        <v>37</v>
      </c>
      <c r="C302" s="4" t="s">
        <v>682</v>
      </c>
      <c r="D302" s="4" t="s">
        <v>683</v>
      </c>
      <c r="E302" s="4" t="s">
        <v>46</v>
      </c>
      <c r="F302" s="4" t="s">
        <v>93</v>
      </c>
      <c r="G302" s="4" t="s">
        <v>42</v>
      </c>
      <c r="H302" s="5">
        <v>1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1</v>
      </c>
      <c r="AD302" s="5">
        <v>0</v>
      </c>
      <c r="AE302" s="5">
        <v>0</v>
      </c>
      <c r="AF302" s="5">
        <v>0</v>
      </c>
      <c r="AG302" s="5">
        <v>0</v>
      </c>
      <c r="AH302" s="5">
        <v>1</v>
      </c>
      <c r="AI302" s="6" t="s">
        <v>53</v>
      </c>
      <c r="AJ302" s="7">
        <v>4</v>
      </c>
    </row>
    <row r="303" spans="1:36" hidden="1" x14ac:dyDescent="0.3">
      <c r="A303" s="4" t="s">
        <v>36</v>
      </c>
      <c r="B303" s="4" t="s">
        <v>37</v>
      </c>
      <c r="C303" s="4" t="s">
        <v>684</v>
      </c>
      <c r="D303" s="4" t="s">
        <v>685</v>
      </c>
      <c r="E303" s="4" t="s">
        <v>214</v>
      </c>
      <c r="F303" s="4" t="s">
        <v>215</v>
      </c>
      <c r="G303" s="4" t="s">
        <v>42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1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6" t="s">
        <v>53</v>
      </c>
      <c r="AJ303" s="7">
        <v>1</v>
      </c>
    </row>
    <row r="304" spans="1:36" hidden="1" x14ac:dyDescent="0.3">
      <c r="A304" s="4" t="s">
        <v>36</v>
      </c>
      <c r="B304" s="4" t="s">
        <v>37</v>
      </c>
      <c r="C304" s="4" t="s">
        <v>686</v>
      </c>
      <c r="D304" s="4" t="s">
        <v>687</v>
      </c>
      <c r="E304" s="4" t="s">
        <v>214</v>
      </c>
      <c r="F304" s="4" t="s">
        <v>215</v>
      </c>
      <c r="G304" s="4" t="s">
        <v>42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6" t="s">
        <v>53</v>
      </c>
      <c r="AJ304" s="7">
        <v>0</v>
      </c>
    </row>
    <row r="305" spans="1:36" hidden="1" x14ac:dyDescent="0.3">
      <c r="A305" s="4" t="s">
        <v>36</v>
      </c>
      <c r="B305" s="4" t="s">
        <v>37</v>
      </c>
      <c r="C305" s="4" t="s">
        <v>688</v>
      </c>
      <c r="D305" s="4" t="s">
        <v>689</v>
      </c>
      <c r="E305" s="4" t="s">
        <v>46</v>
      </c>
      <c r="F305" s="4" t="s">
        <v>59</v>
      </c>
      <c r="G305" s="4" t="s">
        <v>60</v>
      </c>
      <c r="H305" s="5">
        <v>1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6" t="s">
        <v>53</v>
      </c>
      <c r="AJ305" s="7">
        <v>1</v>
      </c>
    </row>
    <row r="306" spans="1:36" hidden="1" x14ac:dyDescent="0.3">
      <c r="A306" s="4" t="s">
        <v>36</v>
      </c>
      <c r="B306" s="4" t="s">
        <v>37</v>
      </c>
      <c r="C306" s="4" t="s">
        <v>690</v>
      </c>
      <c r="D306" s="4" t="s">
        <v>691</v>
      </c>
      <c r="E306" s="4" t="s">
        <v>46</v>
      </c>
      <c r="F306" s="4" t="s">
        <v>72</v>
      </c>
      <c r="G306" s="4" t="s">
        <v>52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1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6" t="s">
        <v>53</v>
      </c>
      <c r="AJ306" s="7">
        <v>1</v>
      </c>
    </row>
    <row r="307" spans="1:36" hidden="1" x14ac:dyDescent="0.3">
      <c r="A307" s="4" t="s">
        <v>36</v>
      </c>
      <c r="B307" s="4" t="s">
        <v>37</v>
      </c>
      <c r="C307" s="4" t="s">
        <v>692</v>
      </c>
      <c r="D307" s="4" t="s">
        <v>693</v>
      </c>
      <c r="E307" s="4" t="s">
        <v>46</v>
      </c>
      <c r="F307" s="4" t="s">
        <v>72</v>
      </c>
      <c r="G307" s="4" t="s">
        <v>52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1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6" t="s">
        <v>43</v>
      </c>
      <c r="AJ307" s="7">
        <v>1</v>
      </c>
    </row>
    <row r="308" spans="1:36" hidden="1" x14ac:dyDescent="0.3">
      <c r="A308" s="4" t="s">
        <v>36</v>
      </c>
      <c r="B308" s="4" t="s">
        <v>37</v>
      </c>
      <c r="C308" s="4" t="s">
        <v>694</v>
      </c>
      <c r="D308" s="4" t="s">
        <v>695</v>
      </c>
      <c r="E308" s="4" t="s">
        <v>46</v>
      </c>
      <c r="F308" s="4" t="s">
        <v>80</v>
      </c>
      <c r="G308" s="4" t="s">
        <v>64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6" t="s">
        <v>53</v>
      </c>
      <c r="AJ308" s="7">
        <v>0</v>
      </c>
    </row>
    <row r="309" spans="1:36" hidden="1" x14ac:dyDescent="0.3">
      <c r="A309" s="4" t="s">
        <v>36</v>
      </c>
      <c r="B309" s="4" t="s">
        <v>37</v>
      </c>
      <c r="C309" s="4" t="s">
        <v>696</v>
      </c>
      <c r="D309" s="4" t="s">
        <v>697</v>
      </c>
      <c r="E309" s="4" t="s">
        <v>46</v>
      </c>
      <c r="F309" s="4" t="s">
        <v>80</v>
      </c>
      <c r="G309" s="4" t="s">
        <v>64</v>
      </c>
      <c r="H309" s="5">
        <v>1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1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1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1</v>
      </c>
      <c r="AF309" s="5">
        <v>0</v>
      </c>
      <c r="AG309" s="5">
        <v>0</v>
      </c>
      <c r="AH309" s="5">
        <v>0</v>
      </c>
      <c r="AI309" s="6" t="s">
        <v>43</v>
      </c>
      <c r="AJ309" s="7">
        <v>5</v>
      </c>
    </row>
    <row r="310" spans="1:36" hidden="1" x14ac:dyDescent="0.3">
      <c r="A310" s="4" t="s">
        <v>36</v>
      </c>
      <c r="B310" s="4" t="s">
        <v>37</v>
      </c>
      <c r="C310" s="4" t="s">
        <v>698</v>
      </c>
      <c r="D310" s="4" t="s">
        <v>699</v>
      </c>
      <c r="E310" s="4" t="s">
        <v>46</v>
      </c>
      <c r="F310" s="4" t="s">
        <v>72</v>
      </c>
      <c r="G310" s="4" t="s">
        <v>52</v>
      </c>
      <c r="H310" s="5">
        <v>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1</v>
      </c>
      <c r="V310" s="5">
        <v>1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6" t="s">
        <v>53</v>
      </c>
      <c r="AJ310" s="7">
        <v>3</v>
      </c>
    </row>
    <row r="311" spans="1:36" hidden="1" x14ac:dyDescent="0.3">
      <c r="A311" s="4" t="s">
        <v>36</v>
      </c>
      <c r="B311" s="4" t="s">
        <v>37</v>
      </c>
      <c r="C311" s="4" t="s">
        <v>700</v>
      </c>
      <c r="D311" s="4" t="s">
        <v>701</v>
      </c>
      <c r="E311" s="4" t="s">
        <v>46</v>
      </c>
      <c r="F311" s="4" t="s">
        <v>86</v>
      </c>
      <c r="G311" s="4" t="s">
        <v>42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1</v>
      </c>
      <c r="V311" s="5">
        <v>1</v>
      </c>
      <c r="W311" s="5">
        <v>0</v>
      </c>
      <c r="X311" s="5">
        <v>1</v>
      </c>
      <c r="Y311" s="5">
        <v>0</v>
      </c>
      <c r="Z311" s="5">
        <v>0</v>
      </c>
      <c r="AA311" s="5">
        <v>0</v>
      </c>
      <c r="AB311" s="5">
        <v>1</v>
      </c>
      <c r="AC311" s="5">
        <v>1</v>
      </c>
      <c r="AD311" s="5">
        <v>0</v>
      </c>
      <c r="AE311" s="5">
        <v>1</v>
      </c>
      <c r="AF311" s="5">
        <v>0</v>
      </c>
      <c r="AG311" s="5">
        <v>0</v>
      </c>
      <c r="AH311" s="5">
        <v>0</v>
      </c>
      <c r="AI311" s="6" t="s">
        <v>43</v>
      </c>
      <c r="AJ311" s="7">
        <v>6</v>
      </c>
    </row>
    <row r="312" spans="1:36" hidden="1" x14ac:dyDescent="0.3">
      <c r="A312" s="4" t="s">
        <v>36</v>
      </c>
      <c r="B312" s="4" t="s">
        <v>37</v>
      </c>
      <c r="C312" s="4" t="s">
        <v>702</v>
      </c>
      <c r="D312" s="4" t="s">
        <v>703</v>
      </c>
      <c r="E312" s="4" t="s">
        <v>46</v>
      </c>
      <c r="F312" s="4" t="s">
        <v>80</v>
      </c>
      <c r="G312" s="4" t="s">
        <v>64</v>
      </c>
      <c r="H312" s="5">
        <v>0</v>
      </c>
      <c r="I312" s="5">
        <v>1</v>
      </c>
      <c r="J312" s="5">
        <v>0</v>
      </c>
      <c r="K312" s="5">
        <v>0</v>
      </c>
      <c r="L312" s="5">
        <v>0</v>
      </c>
      <c r="M312" s="5">
        <v>0</v>
      </c>
      <c r="N312" s="5">
        <v>1</v>
      </c>
      <c r="O312" s="5">
        <v>0</v>
      </c>
      <c r="P312" s="5">
        <v>1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1</v>
      </c>
      <c r="Z312" s="5">
        <v>0</v>
      </c>
      <c r="AA312" s="5">
        <v>1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6" t="s">
        <v>53</v>
      </c>
      <c r="AJ312" s="7">
        <v>5</v>
      </c>
    </row>
    <row r="313" spans="1:36" hidden="1" x14ac:dyDescent="0.3">
      <c r="A313" s="4" t="s">
        <v>36</v>
      </c>
      <c r="B313" s="4" t="s">
        <v>37</v>
      </c>
      <c r="C313" s="4" t="s">
        <v>704</v>
      </c>
      <c r="D313" s="4" t="s">
        <v>705</v>
      </c>
      <c r="E313" s="4" t="s">
        <v>46</v>
      </c>
      <c r="F313" s="4" t="s">
        <v>59</v>
      </c>
      <c r="G313" s="4" t="s">
        <v>60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1</v>
      </c>
      <c r="AF313" s="5">
        <v>0</v>
      </c>
      <c r="AG313" s="5">
        <v>0</v>
      </c>
      <c r="AH313" s="5">
        <v>0</v>
      </c>
      <c r="AI313" s="6" t="s">
        <v>53</v>
      </c>
      <c r="AJ313" s="7">
        <v>1</v>
      </c>
    </row>
    <row r="314" spans="1:36" hidden="1" x14ac:dyDescent="0.3">
      <c r="A314" s="4" t="s">
        <v>36</v>
      </c>
      <c r="B314" s="4" t="s">
        <v>37</v>
      </c>
      <c r="C314" s="4" t="s">
        <v>706</v>
      </c>
      <c r="D314" s="4" t="s">
        <v>707</v>
      </c>
      <c r="E314" s="4" t="s">
        <v>46</v>
      </c>
      <c r="F314" s="4" t="s">
        <v>168</v>
      </c>
      <c r="G314" s="4" t="s">
        <v>52</v>
      </c>
      <c r="H314" s="5">
        <v>1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1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6" t="s">
        <v>53</v>
      </c>
      <c r="AJ314" s="7">
        <v>2</v>
      </c>
    </row>
    <row r="315" spans="1:36" hidden="1" x14ac:dyDescent="0.3">
      <c r="A315" s="4" t="s">
        <v>36</v>
      </c>
      <c r="B315" s="4" t="s">
        <v>37</v>
      </c>
      <c r="C315" s="4" t="s">
        <v>708</v>
      </c>
      <c r="D315" s="4" t="s">
        <v>709</v>
      </c>
      <c r="E315" s="4" t="s">
        <v>46</v>
      </c>
      <c r="F315" s="4" t="s">
        <v>168</v>
      </c>
      <c r="G315" s="4" t="s">
        <v>52</v>
      </c>
      <c r="H315" s="5">
        <v>1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6" t="s">
        <v>53</v>
      </c>
      <c r="AJ315" s="7">
        <v>1</v>
      </c>
    </row>
    <row r="316" spans="1:36" hidden="1" x14ac:dyDescent="0.3">
      <c r="A316" s="4" t="s">
        <v>36</v>
      </c>
      <c r="B316" s="4" t="s">
        <v>37</v>
      </c>
      <c r="C316" s="4" t="s">
        <v>710</v>
      </c>
      <c r="D316" s="4" t="s">
        <v>711</v>
      </c>
      <c r="E316" s="4" t="s">
        <v>214</v>
      </c>
      <c r="F316" s="4" t="s">
        <v>215</v>
      </c>
      <c r="G316" s="4" t="s">
        <v>42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1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6" t="s">
        <v>53</v>
      </c>
      <c r="AJ316" s="7">
        <v>1</v>
      </c>
    </row>
    <row r="317" spans="1:36" hidden="1" x14ac:dyDescent="0.3">
      <c r="A317" s="4" t="s">
        <v>36</v>
      </c>
      <c r="B317" s="4" t="s">
        <v>37</v>
      </c>
      <c r="C317" s="4" t="s">
        <v>712</v>
      </c>
      <c r="D317" s="4" t="s">
        <v>713</v>
      </c>
      <c r="E317" s="4" t="s">
        <v>46</v>
      </c>
      <c r="F317" s="4" t="s">
        <v>93</v>
      </c>
      <c r="G317" s="4" t="s">
        <v>42</v>
      </c>
      <c r="H317" s="5">
        <v>1</v>
      </c>
      <c r="I317" s="5">
        <v>1</v>
      </c>
      <c r="J317" s="5">
        <v>1</v>
      </c>
      <c r="K317" s="5">
        <v>0</v>
      </c>
      <c r="L317" s="5">
        <v>0</v>
      </c>
      <c r="M317" s="5">
        <v>0</v>
      </c>
      <c r="N317" s="5">
        <v>1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1</v>
      </c>
      <c r="V317" s="5">
        <v>0</v>
      </c>
      <c r="W317" s="5">
        <v>0</v>
      </c>
      <c r="X317" s="5">
        <v>1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6" t="s">
        <v>53</v>
      </c>
      <c r="AJ317" s="7">
        <v>6</v>
      </c>
    </row>
    <row r="318" spans="1:36" hidden="1" x14ac:dyDescent="0.3">
      <c r="A318" s="4" t="s">
        <v>36</v>
      </c>
      <c r="B318" s="4" t="s">
        <v>37</v>
      </c>
      <c r="C318" s="4" t="s">
        <v>714</v>
      </c>
      <c r="D318" s="4" t="s">
        <v>715</v>
      </c>
      <c r="E318" s="4" t="s">
        <v>46</v>
      </c>
      <c r="F318" s="4" t="s">
        <v>80</v>
      </c>
      <c r="G318" s="4" t="s">
        <v>64</v>
      </c>
      <c r="H318" s="5">
        <v>0</v>
      </c>
      <c r="I318" s="5">
        <v>0</v>
      </c>
      <c r="J318" s="5">
        <v>0</v>
      </c>
      <c r="K318" s="5">
        <v>1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1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1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6" t="s">
        <v>43</v>
      </c>
      <c r="AJ318" s="7">
        <v>3</v>
      </c>
    </row>
    <row r="319" spans="1:36" hidden="1" x14ac:dyDescent="0.3">
      <c r="A319" s="4" t="s">
        <v>36</v>
      </c>
      <c r="B319" s="4" t="s">
        <v>37</v>
      </c>
      <c r="C319" s="4" t="s">
        <v>716</v>
      </c>
      <c r="D319" s="4" t="s">
        <v>717</v>
      </c>
      <c r="E319" s="4" t="s">
        <v>46</v>
      </c>
      <c r="F319" s="4" t="s">
        <v>59</v>
      </c>
      <c r="G319" s="4" t="s">
        <v>60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1</v>
      </c>
      <c r="AF319" s="5">
        <v>0</v>
      </c>
      <c r="AG319" s="5">
        <v>0</v>
      </c>
      <c r="AH319" s="5">
        <v>0</v>
      </c>
      <c r="AI319" s="6" t="s">
        <v>53</v>
      </c>
      <c r="AJ319" s="7">
        <v>1</v>
      </c>
    </row>
    <row r="320" spans="1:36" hidden="1" x14ac:dyDescent="0.3">
      <c r="A320" s="4" t="s">
        <v>36</v>
      </c>
      <c r="B320" s="4" t="s">
        <v>37</v>
      </c>
      <c r="C320" s="4" t="s">
        <v>718</v>
      </c>
      <c r="D320" s="4" t="s">
        <v>719</v>
      </c>
      <c r="E320" s="4" t="s">
        <v>46</v>
      </c>
      <c r="F320" s="4" t="s">
        <v>80</v>
      </c>
      <c r="G320" s="4" t="s">
        <v>64</v>
      </c>
      <c r="H320" s="5">
        <v>1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1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1</v>
      </c>
      <c r="AF320" s="5">
        <v>0</v>
      </c>
      <c r="AG320" s="5">
        <v>0</v>
      </c>
      <c r="AH320" s="5">
        <v>0</v>
      </c>
      <c r="AI320" s="6" t="s">
        <v>43</v>
      </c>
      <c r="AJ320" s="7">
        <v>3</v>
      </c>
    </row>
    <row r="321" spans="1:36" hidden="1" x14ac:dyDescent="0.3">
      <c r="A321" s="4" t="s">
        <v>36</v>
      </c>
      <c r="B321" s="4" t="s">
        <v>37</v>
      </c>
      <c r="C321" s="4" t="s">
        <v>720</v>
      </c>
      <c r="D321" s="4" t="s">
        <v>721</v>
      </c>
      <c r="E321" s="4" t="s">
        <v>46</v>
      </c>
      <c r="F321" s="4" t="s">
        <v>59</v>
      </c>
      <c r="G321" s="4" t="s">
        <v>60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1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6" t="s">
        <v>53</v>
      </c>
      <c r="AJ321" s="7">
        <v>1</v>
      </c>
    </row>
    <row r="322" spans="1:36" hidden="1" x14ac:dyDescent="0.3">
      <c r="A322" s="4" t="s">
        <v>36</v>
      </c>
      <c r="B322" s="4" t="s">
        <v>37</v>
      </c>
      <c r="C322" s="4" t="s">
        <v>722</v>
      </c>
      <c r="D322" s="4" t="s">
        <v>723</v>
      </c>
      <c r="E322" s="4" t="s">
        <v>46</v>
      </c>
      <c r="F322" s="4" t="s">
        <v>93</v>
      </c>
      <c r="G322" s="4" t="s">
        <v>42</v>
      </c>
      <c r="H322" s="5">
        <v>1</v>
      </c>
      <c r="I322" s="5">
        <v>1</v>
      </c>
      <c r="J322" s="5">
        <v>1</v>
      </c>
      <c r="K322" s="5">
        <v>0</v>
      </c>
      <c r="L322" s="5">
        <v>0</v>
      </c>
      <c r="M322" s="5">
        <v>0</v>
      </c>
      <c r="N322" s="5">
        <v>1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1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1</v>
      </c>
      <c r="AC322" s="5">
        <v>0</v>
      </c>
      <c r="AD322" s="5">
        <v>0</v>
      </c>
      <c r="AE322" s="5">
        <v>1</v>
      </c>
      <c r="AF322" s="5">
        <v>0</v>
      </c>
      <c r="AG322" s="5">
        <v>0</v>
      </c>
      <c r="AH322" s="5">
        <v>1</v>
      </c>
      <c r="AI322" s="6" t="s">
        <v>43</v>
      </c>
      <c r="AJ322" s="7">
        <v>8</v>
      </c>
    </row>
    <row r="323" spans="1:36" hidden="1" x14ac:dyDescent="0.3">
      <c r="A323" s="4" t="s">
        <v>36</v>
      </c>
      <c r="B323" s="4" t="s">
        <v>37</v>
      </c>
      <c r="C323" s="4" t="s">
        <v>724</v>
      </c>
      <c r="D323" s="4" t="s">
        <v>725</v>
      </c>
      <c r="E323" s="4" t="s">
        <v>46</v>
      </c>
      <c r="F323" s="4" t="s">
        <v>96</v>
      </c>
      <c r="G323" s="4" t="s">
        <v>64</v>
      </c>
      <c r="H323" s="5">
        <v>1</v>
      </c>
      <c r="I323" s="5">
        <v>1</v>
      </c>
      <c r="J323" s="5">
        <v>0</v>
      </c>
      <c r="K323" s="5">
        <v>0</v>
      </c>
      <c r="L323" s="5">
        <v>0</v>
      </c>
      <c r="M323" s="5">
        <v>0</v>
      </c>
      <c r="N323" s="5">
        <v>1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1</v>
      </c>
      <c r="AC323" s="5">
        <v>0</v>
      </c>
      <c r="AD323" s="5">
        <v>0</v>
      </c>
      <c r="AE323" s="5">
        <v>1</v>
      </c>
      <c r="AF323" s="5">
        <v>0</v>
      </c>
      <c r="AG323" s="5">
        <v>0</v>
      </c>
      <c r="AH323" s="5">
        <v>0</v>
      </c>
      <c r="AI323" s="6" t="s">
        <v>43</v>
      </c>
      <c r="AJ323" s="7">
        <v>5</v>
      </c>
    </row>
    <row r="324" spans="1:36" hidden="1" x14ac:dyDescent="0.3">
      <c r="A324" s="4" t="s">
        <v>36</v>
      </c>
      <c r="B324" s="4" t="s">
        <v>37</v>
      </c>
      <c r="C324" s="4" t="s">
        <v>726</v>
      </c>
      <c r="D324" s="4" t="s">
        <v>727</v>
      </c>
      <c r="E324" s="4" t="s">
        <v>40</v>
      </c>
      <c r="F324" s="4" t="s">
        <v>93</v>
      </c>
      <c r="G324" s="4" t="s">
        <v>42</v>
      </c>
      <c r="H324" s="5">
        <v>1</v>
      </c>
      <c r="I324" s="5">
        <v>1</v>
      </c>
      <c r="J324" s="5">
        <v>0</v>
      </c>
      <c r="K324" s="5">
        <v>0</v>
      </c>
      <c r="L324" s="5">
        <v>0</v>
      </c>
      <c r="M324" s="5">
        <v>0</v>
      </c>
      <c r="N324" s="5">
        <v>1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6" t="s">
        <v>43</v>
      </c>
      <c r="AJ324" s="7">
        <v>3</v>
      </c>
    </row>
    <row r="325" spans="1:36" hidden="1" x14ac:dyDescent="0.3">
      <c r="A325" s="4" t="s">
        <v>36</v>
      </c>
      <c r="B325" s="4" t="s">
        <v>37</v>
      </c>
      <c r="C325" s="4" t="s">
        <v>728</v>
      </c>
      <c r="D325" s="4" t="s">
        <v>729</v>
      </c>
      <c r="E325" s="4" t="s">
        <v>46</v>
      </c>
      <c r="F325" s="4" t="s">
        <v>51</v>
      </c>
      <c r="G325" s="4" t="s">
        <v>52</v>
      </c>
      <c r="H325" s="5">
        <v>1</v>
      </c>
      <c r="I325" s="5">
        <v>0</v>
      </c>
      <c r="J325" s="5">
        <v>1</v>
      </c>
      <c r="K325" s="5">
        <v>0</v>
      </c>
      <c r="L325" s="5">
        <v>1</v>
      </c>
      <c r="M325" s="5">
        <v>0</v>
      </c>
      <c r="N325" s="5">
        <v>1</v>
      </c>
      <c r="O325" s="5">
        <v>0</v>
      </c>
      <c r="P325" s="5">
        <v>1</v>
      </c>
      <c r="Q325" s="5">
        <v>1</v>
      </c>
      <c r="R325" s="5">
        <v>0</v>
      </c>
      <c r="S325" s="5">
        <v>0</v>
      </c>
      <c r="T325" s="5">
        <v>0</v>
      </c>
      <c r="U325" s="5">
        <v>1</v>
      </c>
      <c r="V325" s="5">
        <v>0</v>
      </c>
      <c r="W325" s="5">
        <v>0</v>
      </c>
      <c r="X325" s="5">
        <v>1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1</v>
      </c>
      <c r="AF325" s="5">
        <v>0</v>
      </c>
      <c r="AG325" s="5">
        <v>0</v>
      </c>
      <c r="AH325" s="5">
        <v>1</v>
      </c>
      <c r="AI325" s="6" t="s">
        <v>43</v>
      </c>
      <c r="AJ325" s="7">
        <v>10</v>
      </c>
    </row>
    <row r="326" spans="1:36" hidden="1" x14ac:dyDescent="0.3">
      <c r="A326" s="4" t="s">
        <v>36</v>
      </c>
      <c r="B326" s="4" t="s">
        <v>37</v>
      </c>
      <c r="C326" s="4" t="s">
        <v>730</v>
      </c>
      <c r="D326" s="4" t="s">
        <v>731</v>
      </c>
      <c r="E326" s="4" t="s">
        <v>46</v>
      </c>
      <c r="F326" s="4" t="s">
        <v>125</v>
      </c>
      <c r="G326" s="4" t="s">
        <v>60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1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1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6" t="s">
        <v>43</v>
      </c>
      <c r="AJ326" s="7">
        <v>3</v>
      </c>
    </row>
    <row r="327" spans="1:36" hidden="1" x14ac:dyDescent="0.3">
      <c r="A327" s="4" t="s">
        <v>36</v>
      </c>
      <c r="B327" s="4" t="s">
        <v>37</v>
      </c>
      <c r="C327" s="4" t="s">
        <v>732</v>
      </c>
      <c r="D327" s="4" t="s">
        <v>733</v>
      </c>
      <c r="E327" s="4" t="s">
        <v>46</v>
      </c>
      <c r="F327" s="4" t="s">
        <v>80</v>
      </c>
      <c r="G327" s="4" t="s">
        <v>64</v>
      </c>
      <c r="H327" s="5">
        <v>0</v>
      </c>
      <c r="I327" s="5">
        <v>1</v>
      </c>
      <c r="J327" s="5">
        <v>0</v>
      </c>
      <c r="K327" s="5">
        <v>0</v>
      </c>
      <c r="L327" s="5">
        <v>0</v>
      </c>
      <c r="M327" s="5">
        <v>0</v>
      </c>
      <c r="N327" s="5">
        <v>1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6" t="s">
        <v>53</v>
      </c>
      <c r="AJ327" s="7">
        <v>2</v>
      </c>
    </row>
    <row r="328" spans="1:36" hidden="1" x14ac:dyDescent="0.3">
      <c r="A328" s="4" t="s">
        <v>36</v>
      </c>
      <c r="B328" s="4" t="s">
        <v>37</v>
      </c>
      <c r="C328" s="4" t="s">
        <v>734</v>
      </c>
      <c r="D328" s="4" t="s">
        <v>735</v>
      </c>
      <c r="E328" s="4" t="s">
        <v>40</v>
      </c>
      <c r="F328" s="4" t="s">
        <v>80</v>
      </c>
      <c r="G328" s="4" t="s">
        <v>64</v>
      </c>
      <c r="H328" s="5">
        <v>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1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6" t="s">
        <v>43</v>
      </c>
      <c r="AJ328" s="7">
        <v>3</v>
      </c>
    </row>
    <row r="329" spans="1:36" hidden="1" x14ac:dyDescent="0.3">
      <c r="A329" s="4" t="s">
        <v>36</v>
      </c>
      <c r="B329" s="4" t="s">
        <v>37</v>
      </c>
      <c r="C329" s="4" t="s">
        <v>736</v>
      </c>
      <c r="D329" s="4" t="s">
        <v>737</v>
      </c>
      <c r="E329" s="4" t="s">
        <v>214</v>
      </c>
      <c r="F329" s="4" t="s">
        <v>215</v>
      </c>
      <c r="G329" s="4" t="s">
        <v>42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1</v>
      </c>
      <c r="O329" s="5">
        <v>0</v>
      </c>
      <c r="P329" s="5">
        <v>0</v>
      </c>
      <c r="Q329" s="5">
        <v>0</v>
      </c>
      <c r="R329" s="5">
        <v>0</v>
      </c>
      <c r="S329" s="5">
        <v>1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6" t="s">
        <v>53</v>
      </c>
      <c r="AJ329" s="7">
        <v>2</v>
      </c>
    </row>
    <row r="330" spans="1:36" hidden="1" x14ac:dyDescent="0.3">
      <c r="A330" s="4" t="s">
        <v>36</v>
      </c>
      <c r="B330" s="4" t="s">
        <v>37</v>
      </c>
      <c r="C330" s="4" t="s">
        <v>738</v>
      </c>
      <c r="D330" s="4" t="s">
        <v>739</v>
      </c>
      <c r="E330" s="4" t="s">
        <v>214</v>
      </c>
      <c r="F330" s="4" t="s">
        <v>215</v>
      </c>
      <c r="G330" s="4" t="s">
        <v>42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1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6" t="s">
        <v>53</v>
      </c>
      <c r="AJ330" s="7">
        <v>1</v>
      </c>
    </row>
    <row r="331" spans="1:36" hidden="1" x14ac:dyDescent="0.3">
      <c r="A331" s="4" t="s">
        <v>36</v>
      </c>
      <c r="B331" s="4" t="s">
        <v>37</v>
      </c>
      <c r="C331" s="4" t="s">
        <v>740</v>
      </c>
      <c r="D331" s="4" t="s">
        <v>741</v>
      </c>
      <c r="E331" s="4" t="s">
        <v>46</v>
      </c>
      <c r="F331" s="4" t="s">
        <v>59</v>
      </c>
      <c r="G331" s="4" t="s">
        <v>60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1</v>
      </c>
      <c r="AF331" s="5">
        <v>0</v>
      </c>
      <c r="AG331" s="5">
        <v>0</v>
      </c>
      <c r="AH331" s="5">
        <v>0</v>
      </c>
      <c r="AI331" s="6" t="s">
        <v>53</v>
      </c>
      <c r="AJ331" s="7">
        <v>1</v>
      </c>
    </row>
    <row r="332" spans="1:36" hidden="1" x14ac:dyDescent="0.3">
      <c r="A332" s="4" t="s">
        <v>36</v>
      </c>
      <c r="B332" s="4" t="s">
        <v>37</v>
      </c>
      <c r="C332" s="4" t="s">
        <v>742</v>
      </c>
      <c r="D332" s="4" t="s">
        <v>743</v>
      </c>
      <c r="E332" s="4" t="s">
        <v>46</v>
      </c>
      <c r="F332" s="4" t="s">
        <v>51</v>
      </c>
      <c r="G332" s="4" t="s">
        <v>52</v>
      </c>
      <c r="H332" s="5">
        <v>1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1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6" t="s">
        <v>53</v>
      </c>
      <c r="AJ332" s="7">
        <v>3</v>
      </c>
    </row>
    <row r="333" spans="1:36" hidden="1" x14ac:dyDescent="0.3">
      <c r="A333" s="4" t="s">
        <v>36</v>
      </c>
      <c r="B333" s="4" t="s">
        <v>37</v>
      </c>
      <c r="C333" s="4" t="s">
        <v>744</v>
      </c>
      <c r="D333" s="4" t="s">
        <v>745</v>
      </c>
      <c r="E333" s="4" t="s">
        <v>46</v>
      </c>
      <c r="F333" s="4" t="s">
        <v>86</v>
      </c>
      <c r="G333" s="4" t="s">
        <v>42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6" t="s">
        <v>53</v>
      </c>
      <c r="AJ333" s="7">
        <v>1</v>
      </c>
    </row>
    <row r="334" spans="1:36" hidden="1" x14ac:dyDescent="0.3">
      <c r="A334" s="4" t="s">
        <v>36</v>
      </c>
      <c r="B334" s="4" t="s">
        <v>37</v>
      </c>
      <c r="C334" s="4" t="s">
        <v>746</v>
      </c>
      <c r="D334" s="4" t="s">
        <v>747</v>
      </c>
      <c r="E334" s="4" t="s">
        <v>214</v>
      </c>
      <c r="F334" s="4" t="s">
        <v>215</v>
      </c>
      <c r="G334" s="4" t="s">
        <v>42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6" t="s">
        <v>53</v>
      </c>
      <c r="AJ334" s="7">
        <v>0</v>
      </c>
    </row>
    <row r="335" spans="1:36" hidden="1" x14ac:dyDescent="0.3">
      <c r="A335" s="4" t="s">
        <v>36</v>
      </c>
      <c r="B335" s="4" t="s">
        <v>37</v>
      </c>
      <c r="C335" s="4" t="s">
        <v>748</v>
      </c>
      <c r="D335" s="4" t="s">
        <v>749</v>
      </c>
      <c r="E335" s="4" t="s">
        <v>46</v>
      </c>
      <c r="F335" s="4" t="s">
        <v>72</v>
      </c>
      <c r="G335" s="4" t="s">
        <v>52</v>
      </c>
      <c r="H335" s="5">
        <v>1</v>
      </c>
      <c r="I335" s="5">
        <v>1</v>
      </c>
      <c r="J335" s="5">
        <v>0</v>
      </c>
      <c r="K335" s="5">
        <v>0</v>
      </c>
      <c r="L335" s="5">
        <v>0</v>
      </c>
      <c r="M335" s="5">
        <v>0</v>
      </c>
      <c r="N335" s="5">
        <v>1</v>
      </c>
      <c r="O335" s="5">
        <v>0</v>
      </c>
      <c r="P335" s="5">
        <v>0</v>
      </c>
      <c r="Q335" s="5">
        <v>1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1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6" t="s">
        <v>43</v>
      </c>
      <c r="AJ335" s="7">
        <v>5</v>
      </c>
    </row>
    <row r="336" spans="1:36" hidden="1" x14ac:dyDescent="0.3">
      <c r="A336" s="4" t="s">
        <v>36</v>
      </c>
      <c r="B336" s="4" t="s">
        <v>37</v>
      </c>
      <c r="C336" s="4" t="s">
        <v>750</v>
      </c>
      <c r="D336" s="4" t="s">
        <v>751</v>
      </c>
      <c r="E336" s="4" t="s">
        <v>46</v>
      </c>
      <c r="F336" s="4" t="s">
        <v>59</v>
      </c>
      <c r="G336" s="4" t="s">
        <v>60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6" t="s">
        <v>53</v>
      </c>
      <c r="AJ336" s="7">
        <v>0</v>
      </c>
    </row>
    <row r="337" spans="1:36" hidden="1" x14ac:dyDescent="0.3">
      <c r="A337" s="4" t="s">
        <v>36</v>
      </c>
      <c r="B337" s="4" t="s">
        <v>37</v>
      </c>
      <c r="C337" s="4" t="s">
        <v>752</v>
      </c>
      <c r="D337" s="4" t="s">
        <v>753</v>
      </c>
      <c r="E337" s="4" t="s">
        <v>214</v>
      </c>
      <c r="F337" s="4" t="s">
        <v>215</v>
      </c>
      <c r="G337" s="4" t="s">
        <v>42</v>
      </c>
      <c r="H337" s="5">
        <v>1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6" t="s">
        <v>53</v>
      </c>
      <c r="AJ337" s="7">
        <v>1</v>
      </c>
    </row>
    <row r="338" spans="1:36" hidden="1" x14ac:dyDescent="0.3">
      <c r="A338" s="4" t="s">
        <v>36</v>
      </c>
      <c r="B338" s="4" t="s">
        <v>37</v>
      </c>
      <c r="C338" s="4" t="s">
        <v>754</v>
      </c>
      <c r="D338" s="4" t="s">
        <v>755</v>
      </c>
      <c r="E338" s="4" t="s">
        <v>46</v>
      </c>
      <c r="F338" s="4" t="s">
        <v>96</v>
      </c>
      <c r="G338" s="4" t="s">
        <v>64</v>
      </c>
      <c r="H338" s="5">
        <v>0</v>
      </c>
      <c r="I338" s="5">
        <v>1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6" t="s">
        <v>53</v>
      </c>
      <c r="AJ338" s="7">
        <v>1</v>
      </c>
    </row>
    <row r="339" spans="1:36" hidden="1" x14ac:dyDescent="0.3">
      <c r="A339" s="4" t="s">
        <v>36</v>
      </c>
      <c r="B339" s="4" t="s">
        <v>37</v>
      </c>
      <c r="C339" s="4" t="s">
        <v>756</v>
      </c>
      <c r="D339" s="4" t="s">
        <v>757</v>
      </c>
      <c r="E339" s="4" t="s">
        <v>46</v>
      </c>
      <c r="F339" s="4" t="s">
        <v>51</v>
      </c>
      <c r="G339" s="4" t="s">
        <v>52</v>
      </c>
      <c r="H339" s="5">
        <v>0</v>
      </c>
      <c r="I339" s="5">
        <v>0</v>
      </c>
      <c r="J339" s="5">
        <v>0</v>
      </c>
      <c r="K339" s="5">
        <v>1</v>
      </c>
      <c r="L339" s="5">
        <v>0</v>
      </c>
      <c r="M339" s="5">
        <v>0</v>
      </c>
      <c r="N339" s="5">
        <v>0</v>
      </c>
      <c r="O339" s="5">
        <v>1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1</v>
      </c>
      <c r="V339" s="5">
        <v>1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1</v>
      </c>
      <c r="AC339" s="5">
        <v>1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6" t="s">
        <v>43</v>
      </c>
      <c r="AJ339" s="7">
        <v>6</v>
      </c>
    </row>
    <row r="340" spans="1:36" hidden="1" x14ac:dyDescent="0.3">
      <c r="A340" s="4" t="s">
        <v>36</v>
      </c>
      <c r="B340" s="4" t="s">
        <v>37</v>
      </c>
      <c r="C340" s="4" t="s">
        <v>758</v>
      </c>
      <c r="D340" s="4" t="s">
        <v>759</v>
      </c>
      <c r="E340" s="4" t="s">
        <v>46</v>
      </c>
      <c r="F340" s="4" t="s">
        <v>59</v>
      </c>
      <c r="G340" s="4" t="s">
        <v>60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1</v>
      </c>
      <c r="AF340" s="5">
        <v>0</v>
      </c>
      <c r="AG340" s="5">
        <v>0</v>
      </c>
      <c r="AH340" s="5">
        <v>0</v>
      </c>
      <c r="AI340" s="6" t="s">
        <v>53</v>
      </c>
      <c r="AJ340" s="7">
        <v>1</v>
      </c>
    </row>
    <row r="341" spans="1:36" hidden="1" x14ac:dyDescent="0.3">
      <c r="A341" s="4" t="s">
        <v>36</v>
      </c>
      <c r="B341" s="4" t="s">
        <v>37</v>
      </c>
      <c r="C341" s="4" t="s">
        <v>760</v>
      </c>
      <c r="D341" s="4" t="s">
        <v>761</v>
      </c>
      <c r="E341" s="4" t="s">
        <v>46</v>
      </c>
      <c r="F341" s="4" t="s">
        <v>59</v>
      </c>
      <c r="G341" s="4" t="s">
        <v>60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6" t="s">
        <v>53</v>
      </c>
      <c r="AJ341" s="7">
        <v>0</v>
      </c>
    </row>
    <row r="342" spans="1:36" hidden="1" x14ac:dyDescent="0.3">
      <c r="A342" s="4" t="s">
        <v>36</v>
      </c>
      <c r="B342" s="4" t="s">
        <v>37</v>
      </c>
      <c r="C342" s="4" t="s">
        <v>762</v>
      </c>
      <c r="D342" s="4" t="s">
        <v>763</v>
      </c>
      <c r="E342" s="4" t="s">
        <v>46</v>
      </c>
      <c r="F342" s="4" t="s">
        <v>140</v>
      </c>
      <c r="G342" s="4" t="s">
        <v>42</v>
      </c>
      <c r="H342" s="5">
        <v>0</v>
      </c>
      <c r="I342" s="5">
        <v>1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6" t="s">
        <v>43</v>
      </c>
      <c r="AJ342" s="7">
        <v>1</v>
      </c>
    </row>
    <row r="343" spans="1:36" hidden="1" x14ac:dyDescent="0.3">
      <c r="A343" s="4" t="s">
        <v>36</v>
      </c>
      <c r="B343" s="4" t="s">
        <v>37</v>
      </c>
      <c r="C343" s="4" t="s">
        <v>764</v>
      </c>
      <c r="D343" s="4" t="s">
        <v>765</v>
      </c>
      <c r="E343" s="4" t="s">
        <v>46</v>
      </c>
      <c r="F343" s="4" t="s">
        <v>168</v>
      </c>
      <c r="G343" s="4" t="s">
        <v>52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1</v>
      </c>
      <c r="AF343" s="5">
        <v>0</v>
      </c>
      <c r="AG343" s="5">
        <v>0</v>
      </c>
      <c r="AH343" s="5">
        <v>0</v>
      </c>
      <c r="AI343" s="6" t="s">
        <v>53</v>
      </c>
      <c r="AJ343" s="7">
        <v>1</v>
      </c>
    </row>
    <row r="344" spans="1:36" hidden="1" x14ac:dyDescent="0.3">
      <c r="A344" s="4" t="s">
        <v>36</v>
      </c>
      <c r="B344" s="4" t="s">
        <v>37</v>
      </c>
      <c r="C344" s="4" t="s">
        <v>766</v>
      </c>
      <c r="D344" s="4" t="s">
        <v>767</v>
      </c>
      <c r="E344" s="4" t="s">
        <v>46</v>
      </c>
      <c r="F344" s="4" t="s">
        <v>72</v>
      </c>
      <c r="G344" s="4" t="s">
        <v>52</v>
      </c>
      <c r="H344" s="5">
        <v>1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1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6" t="s">
        <v>53</v>
      </c>
      <c r="AJ344" s="7">
        <v>2</v>
      </c>
    </row>
    <row r="345" spans="1:36" hidden="1" x14ac:dyDescent="0.3">
      <c r="A345" s="4" t="s">
        <v>36</v>
      </c>
      <c r="B345" s="4" t="s">
        <v>37</v>
      </c>
      <c r="C345" s="4" t="s">
        <v>768</v>
      </c>
      <c r="D345" s="4" t="s">
        <v>769</v>
      </c>
      <c r="E345" s="4" t="s">
        <v>214</v>
      </c>
      <c r="F345" s="4" t="s">
        <v>215</v>
      </c>
      <c r="G345" s="4" t="s">
        <v>42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6" t="s">
        <v>53</v>
      </c>
      <c r="AJ345" s="7">
        <v>1</v>
      </c>
    </row>
    <row r="346" spans="1:36" hidden="1" x14ac:dyDescent="0.3">
      <c r="A346" s="4" t="s">
        <v>36</v>
      </c>
      <c r="B346" s="4" t="s">
        <v>37</v>
      </c>
      <c r="C346" s="4" t="s">
        <v>770</v>
      </c>
      <c r="D346" s="4" t="s">
        <v>771</v>
      </c>
      <c r="E346" s="4" t="s">
        <v>46</v>
      </c>
      <c r="F346" s="4" t="s">
        <v>96</v>
      </c>
      <c r="G346" s="4" t="s">
        <v>64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1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6" t="s">
        <v>43</v>
      </c>
      <c r="AJ346" s="7">
        <v>1</v>
      </c>
    </row>
    <row r="347" spans="1:36" hidden="1" x14ac:dyDescent="0.3">
      <c r="A347" s="4" t="s">
        <v>36</v>
      </c>
      <c r="B347" s="4" t="s">
        <v>37</v>
      </c>
      <c r="C347" s="4" t="s">
        <v>772</v>
      </c>
      <c r="D347" s="4" t="s">
        <v>773</v>
      </c>
      <c r="E347" s="4" t="s">
        <v>46</v>
      </c>
      <c r="F347" s="4" t="s">
        <v>140</v>
      </c>
      <c r="G347" s="4" t="s">
        <v>42</v>
      </c>
      <c r="H347" s="5">
        <v>1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6" t="s">
        <v>53</v>
      </c>
      <c r="AJ347" s="7">
        <v>1</v>
      </c>
    </row>
    <row r="348" spans="1:36" hidden="1" x14ac:dyDescent="0.3">
      <c r="A348" s="4" t="s">
        <v>36</v>
      </c>
      <c r="B348" s="4" t="s">
        <v>37</v>
      </c>
      <c r="C348" s="4" t="s">
        <v>774</v>
      </c>
      <c r="D348" s="4" t="s">
        <v>775</v>
      </c>
      <c r="E348" s="4" t="s">
        <v>46</v>
      </c>
      <c r="F348" s="4" t="s">
        <v>140</v>
      </c>
      <c r="G348" s="4" t="s">
        <v>42</v>
      </c>
      <c r="H348" s="5">
        <v>1</v>
      </c>
      <c r="I348" s="5">
        <v>1</v>
      </c>
      <c r="J348" s="5">
        <v>1</v>
      </c>
      <c r="K348" s="5">
        <v>1</v>
      </c>
      <c r="L348" s="5">
        <v>1</v>
      </c>
      <c r="M348" s="5">
        <v>1</v>
      </c>
      <c r="N348" s="5">
        <v>1</v>
      </c>
      <c r="O348" s="5">
        <v>1</v>
      </c>
      <c r="P348" s="5">
        <v>1</v>
      </c>
      <c r="Q348" s="5">
        <v>1</v>
      </c>
      <c r="R348" s="5">
        <v>1</v>
      </c>
      <c r="S348" s="5">
        <v>1</v>
      </c>
      <c r="T348" s="5">
        <v>1</v>
      </c>
      <c r="U348" s="5">
        <v>1</v>
      </c>
      <c r="V348" s="5">
        <v>1</v>
      </c>
      <c r="W348" s="5">
        <v>1</v>
      </c>
      <c r="X348" s="5">
        <v>1</v>
      </c>
      <c r="Y348" s="5">
        <v>1</v>
      </c>
      <c r="Z348" s="5">
        <v>0</v>
      </c>
      <c r="AA348" s="5">
        <v>1</v>
      </c>
      <c r="AB348" s="5">
        <v>1</v>
      </c>
      <c r="AC348" s="5">
        <v>0</v>
      </c>
      <c r="AD348" s="5">
        <v>0</v>
      </c>
      <c r="AE348" s="5">
        <v>1</v>
      </c>
      <c r="AF348" s="5">
        <v>0</v>
      </c>
      <c r="AG348" s="5">
        <v>1</v>
      </c>
      <c r="AH348" s="5">
        <v>0</v>
      </c>
      <c r="AI348" s="6" t="s">
        <v>43</v>
      </c>
      <c r="AJ348" s="7">
        <v>22</v>
      </c>
    </row>
    <row r="349" spans="1:36" hidden="1" x14ac:dyDescent="0.3">
      <c r="A349" s="4" t="s">
        <v>36</v>
      </c>
      <c r="B349" s="4" t="s">
        <v>37</v>
      </c>
      <c r="C349" s="4" t="s">
        <v>776</v>
      </c>
      <c r="D349" s="4" t="s">
        <v>777</v>
      </c>
      <c r="E349" s="4" t="s">
        <v>46</v>
      </c>
      <c r="F349" s="4" t="s">
        <v>96</v>
      </c>
      <c r="G349" s="4" t="s">
        <v>64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1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6" t="s">
        <v>53</v>
      </c>
      <c r="AJ349" s="7">
        <v>2</v>
      </c>
    </row>
    <row r="350" spans="1:36" hidden="1" x14ac:dyDescent="0.3">
      <c r="A350" s="4" t="s">
        <v>36</v>
      </c>
      <c r="B350" s="4" t="s">
        <v>37</v>
      </c>
      <c r="C350" s="4" t="s">
        <v>778</v>
      </c>
      <c r="D350" s="4" t="s">
        <v>779</v>
      </c>
      <c r="E350" s="4" t="s">
        <v>46</v>
      </c>
      <c r="F350" s="4" t="s">
        <v>96</v>
      </c>
      <c r="G350" s="4" t="s">
        <v>64</v>
      </c>
      <c r="H350" s="5">
        <v>1</v>
      </c>
      <c r="I350" s="5">
        <v>1</v>
      </c>
      <c r="J350" s="5">
        <v>0</v>
      </c>
      <c r="K350" s="5">
        <v>1</v>
      </c>
      <c r="L350" s="5">
        <v>0</v>
      </c>
      <c r="M350" s="5">
        <v>0</v>
      </c>
      <c r="N350" s="5">
        <v>0</v>
      </c>
      <c r="O350" s="5">
        <v>1</v>
      </c>
      <c r="P350" s="5">
        <v>0</v>
      </c>
      <c r="Q350" s="5">
        <v>1</v>
      </c>
      <c r="R350" s="5">
        <v>0</v>
      </c>
      <c r="S350" s="5">
        <v>0</v>
      </c>
      <c r="T350" s="5">
        <v>1</v>
      </c>
      <c r="U350" s="5">
        <v>1</v>
      </c>
      <c r="V350" s="5">
        <v>1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1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6" t="s">
        <v>43</v>
      </c>
      <c r="AJ350" s="7">
        <v>9</v>
      </c>
    </row>
    <row r="351" spans="1:36" hidden="1" x14ac:dyDescent="0.3">
      <c r="A351" s="4" t="s">
        <v>36</v>
      </c>
      <c r="B351" s="4" t="s">
        <v>37</v>
      </c>
      <c r="C351" s="4" t="s">
        <v>780</v>
      </c>
      <c r="D351" s="4" t="s">
        <v>781</v>
      </c>
      <c r="E351" s="4" t="s">
        <v>46</v>
      </c>
      <c r="F351" s="4" t="s">
        <v>77</v>
      </c>
      <c r="G351" s="4" t="s">
        <v>52</v>
      </c>
      <c r="H351" s="5">
        <v>1</v>
      </c>
      <c r="I351" s="5">
        <v>1</v>
      </c>
      <c r="J351" s="5">
        <v>0</v>
      </c>
      <c r="K351" s="5">
        <v>1</v>
      </c>
      <c r="L351" s="5">
        <v>1</v>
      </c>
      <c r="M351" s="5">
        <v>0</v>
      </c>
      <c r="N351" s="5">
        <v>1</v>
      </c>
      <c r="O351" s="5">
        <v>1</v>
      </c>
      <c r="P351" s="5">
        <v>0</v>
      </c>
      <c r="Q351" s="5">
        <v>1</v>
      </c>
      <c r="R351" s="5">
        <v>1</v>
      </c>
      <c r="S351" s="5">
        <v>0</v>
      </c>
      <c r="T351" s="5">
        <v>1</v>
      </c>
      <c r="U351" s="5">
        <v>1</v>
      </c>
      <c r="V351" s="5">
        <v>0</v>
      </c>
      <c r="W351" s="5">
        <v>1</v>
      </c>
      <c r="X351" s="5">
        <v>1</v>
      </c>
      <c r="Y351" s="5">
        <v>1</v>
      </c>
      <c r="Z351" s="5">
        <v>0</v>
      </c>
      <c r="AA351" s="5">
        <v>0</v>
      </c>
      <c r="AB351" s="5">
        <v>1</v>
      </c>
      <c r="AC351" s="5">
        <v>0</v>
      </c>
      <c r="AD351" s="5">
        <v>1</v>
      </c>
      <c r="AE351" s="5">
        <v>1</v>
      </c>
      <c r="AF351" s="5">
        <v>0</v>
      </c>
      <c r="AG351" s="5">
        <v>0</v>
      </c>
      <c r="AH351" s="5">
        <v>0</v>
      </c>
      <c r="AI351" s="6" t="s">
        <v>43</v>
      </c>
      <c r="AJ351" s="7">
        <v>16</v>
      </c>
    </row>
    <row r="352" spans="1:36" hidden="1" x14ac:dyDescent="0.3">
      <c r="A352" s="4" t="s">
        <v>36</v>
      </c>
      <c r="B352" s="4" t="s">
        <v>37</v>
      </c>
      <c r="C352" s="4" t="s">
        <v>782</v>
      </c>
      <c r="D352" s="4" t="s">
        <v>783</v>
      </c>
      <c r="E352" s="4" t="s">
        <v>46</v>
      </c>
      <c r="F352" s="4" t="s">
        <v>72</v>
      </c>
      <c r="G352" s="4" t="s">
        <v>52</v>
      </c>
      <c r="H352" s="5">
        <v>0</v>
      </c>
      <c r="I352" s="5">
        <v>1</v>
      </c>
      <c r="J352" s="5">
        <v>0</v>
      </c>
      <c r="K352" s="5">
        <v>0</v>
      </c>
      <c r="L352" s="5">
        <v>0</v>
      </c>
      <c r="M352" s="5">
        <v>0</v>
      </c>
      <c r="N352" s="5">
        <v>1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1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1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6" t="s">
        <v>53</v>
      </c>
      <c r="AJ352" s="7">
        <v>4</v>
      </c>
    </row>
    <row r="353" spans="1:36" hidden="1" x14ac:dyDescent="0.3">
      <c r="A353" s="4" t="s">
        <v>36</v>
      </c>
      <c r="B353" s="4" t="s">
        <v>37</v>
      </c>
      <c r="C353" s="4" t="s">
        <v>784</v>
      </c>
      <c r="D353" s="4" t="s">
        <v>785</v>
      </c>
      <c r="E353" s="4" t="s">
        <v>46</v>
      </c>
      <c r="F353" s="4" t="s">
        <v>80</v>
      </c>
      <c r="G353" s="4" t="s">
        <v>64</v>
      </c>
      <c r="H353" s="5">
        <v>1</v>
      </c>
      <c r="I353" s="5">
        <v>1</v>
      </c>
      <c r="J353" s="5">
        <v>0</v>
      </c>
      <c r="K353" s="5">
        <v>0</v>
      </c>
      <c r="L353" s="5">
        <v>0</v>
      </c>
      <c r="M353" s="5">
        <v>0</v>
      </c>
      <c r="N353" s="5">
        <v>1</v>
      </c>
      <c r="O353" s="5">
        <v>0</v>
      </c>
      <c r="P353" s="5">
        <v>0</v>
      </c>
      <c r="Q353" s="5">
        <v>1</v>
      </c>
      <c r="R353" s="5">
        <v>0</v>
      </c>
      <c r="S353" s="5">
        <v>0</v>
      </c>
      <c r="T353" s="5">
        <v>1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6" t="s">
        <v>43</v>
      </c>
      <c r="AJ353" s="7">
        <v>5</v>
      </c>
    </row>
    <row r="354" spans="1:36" hidden="1" x14ac:dyDescent="0.3">
      <c r="A354" s="4" t="s">
        <v>36</v>
      </c>
      <c r="B354" s="4" t="s">
        <v>37</v>
      </c>
      <c r="C354" s="4" t="s">
        <v>786</v>
      </c>
      <c r="D354" s="4" t="s">
        <v>787</v>
      </c>
      <c r="E354" s="4" t="s">
        <v>46</v>
      </c>
      <c r="F354" s="4" t="s">
        <v>51</v>
      </c>
      <c r="G354" s="4" t="s">
        <v>52</v>
      </c>
      <c r="H354" s="5">
        <v>0</v>
      </c>
      <c r="I354" s="5">
        <v>1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6" t="s">
        <v>53</v>
      </c>
      <c r="AJ354" s="7">
        <v>1</v>
      </c>
    </row>
    <row r="355" spans="1:36" hidden="1" x14ac:dyDescent="0.3">
      <c r="A355" s="4" t="s">
        <v>36</v>
      </c>
      <c r="B355" s="4" t="s">
        <v>37</v>
      </c>
      <c r="C355" s="4" t="s">
        <v>788</v>
      </c>
      <c r="D355" s="4" t="s">
        <v>789</v>
      </c>
      <c r="E355" s="4" t="s">
        <v>46</v>
      </c>
      <c r="F355" s="4" t="s">
        <v>93</v>
      </c>
      <c r="G355" s="4" t="s">
        <v>42</v>
      </c>
      <c r="H355" s="5">
        <v>1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1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6" t="s">
        <v>53</v>
      </c>
      <c r="AJ355" s="7">
        <v>2</v>
      </c>
    </row>
    <row r="356" spans="1:36" hidden="1" x14ac:dyDescent="0.3">
      <c r="A356" s="4" t="s">
        <v>36</v>
      </c>
      <c r="B356" s="4" t="s">
        <v>37</v>
      </c>
      <c r="C356" s="4" t="s">
        <v>790</v>
      </c>
      <c r="D356" s="4" t="s">
        <v>791</v>
      </c>
      <c r="E356" s="4" t="s">
        <v>46</v>
      </c>
      <c r="F356" s="4" t="s">
        <v>96</v>
      </c>
      <c r="G356" s="4" t="s">
        <v>64</v>
      </c>
      <c r="H356" s="5">
        <v>1</v>
      </c>
      <c r="I356" s="5">
        <v>1</v>
      </c>
      <c r="J356" s="5">
        <v>0</v>
      </c>
      <c r="K356" s="5">
        <v>0</v>
      </c>
      <c r="L356" s="5">
        <v>1</v>
      </c>
      <c r="M356" s="5">
        <v>0</v>
      </c>
      <c r="N356" s="5">
        <v>1</v>
      </c>
      <c r="O356" s="5">
        <v>0</v>
      </c>
      <c r="P356" s="5">
        <v>1</v>
      </c>
      <c r="Q356" s="5">
        <v>0</v>
      </c>
      <c r="R356" s="5">
        <v>1</v>
      </c>
      <c r="S356" s="5">
        <v>0</v>
      </c>
      <c r="T356" s="5">
        <v>0</v>
      </c>
      <c r="U356" s="5">
        <v>1</v>
      </c>
      <c r="V356" s="5">
        <v>0</v>
      </c>
      <c r="W356" s="5">
        <v>0</v>
      </c>
      <c r="X356" s="5">
        <v>0</v>
      </c>
      <c r="Y356" s="5">
        <v>1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1</v>
      </c>
      <c r="AG356" s="5">
        <v>0</v>
      </c>
      <c r="AH356" s="5">
        <v>0</v>
      </c>
      <c r="AI356" s="6" t="s">
        <v>43</v>
      </c>
      <c r="AJ356" s="7">
        <v>9</v>
      </c>
    </row>
    <row r="357" spans="1:36" hidden="1" x14ac:dyDescent="0.3">
      <c r="A357" s="4" t="s">
        <v>36</v>
      </c>
      <c r="B357" s="4" t="s">
        <v>37</v>
      </c>
      <c r="C357" s="4" t="s">
        <v>792</v>
      </c>
      <c r="D357" s="4" t="s">
        <v>793</v>
      </c>
      <c r="E357" s="4" t="s">
        <v>46</v>
      </c>
      <c r="F357" s="4" t="s">
        <v>72</v>
      </c>
      <c r="G357" s="4" t="s">
        <v>52</v>
      </c>
      <c r="H357" s="5">
        <v>0</v>
      </c>
      <c r="I357" s="5">
        <v>1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6" t="s">
        <v>53</v>
      </c>
      <c r="AJ357" s="7">
        <v>1</v>
      </c>
    </row>
    <row r="358" spans="1:36" hidden="1" x14ac:dyDescent="0.3">
      <c r="A358" s="4" t="s">
        <v>36</v>
      </c>
      <c r="B358" s="4" t="s">
        <v>37</v>
      </c>
      <c r="C358" s="4" t="s">
        <v>794</v>
      </c>
      <c r="D358" s="4" t="s">
        <v>795</v>
      </c>
      <c r="E358" s="4" t="s">
        <v>46</v>
      </c>
      <c r="F358" s="4" t="s">
        <v>41</v>
      </c>
      <c r="G358" s="4" t="s">
        <v>42</v>
      </c>
      <c r="H358" s="5">
        <v>1</v>
      </c>
      <c r="I358" s="5">
        <v>1</v>
      </c>
      <c r="J358" s="5">
        <v>1</v>
      </c>
      <c r="K358" s="5">
        <v>1</v>
      </c>
      <c r="L358" s="5">
        <v>1</v>
      </c>
      <c r="M358" s="5">
        <v>1</v>
      </c>
      <c r="N358" s="5">
        <v>1</v>
      </c>
      <c r="O358" s="5">
        <v>1</v>
      </c>
      <c r="P358" s="5">
        <v>1</v>
      </c>
      <c r="Q358" s="5">
        <v>1</v>
      </c>
      <c r="R358" s="5">
        <v>0</v>
      </c>
      <c r="S358" s="5">
        <v>0</v>
      </c>
      <c r="T358" s="5">
        <v>0</v>
      </c>
      <c r="U358" s="5">
        <v>1</v>
      </c>
      <c r="V358" s="5">
        <v>1</v>
      </c>
      <c r="W358" s="5">
        <v>1</v>
      </c>
      <c r="X358" s="5">
        <v>1</v>
      </c>
      <c r="Y358" s="5">
        <v>1</v>
      </c>
      <c r="Z358" s="5">
        <v>0</v>
      </c>
      <c r="AA358" s="5">
        <v>0</v>
      </c>
      <c r="AB358" s="5">
        <v>1</v>
      </c>
      <c r="AC358" s="5">
        <v>0</v>
      </c>
      <c r="AD358" s="5">
        <v>1</v>
      </c>
      <c r="AE358" s="5">
        <v>1</v>
      </c>
      <c r="AF358" s="5">
        <v>1</v>
      </c>
      <c r="AG358" s="5">
        <v>1</v>
      </c>
      <c r="AH358" s="5">
        <v>1</v>
      </c>
      <c r="AI358" s="6" t="s">
        <v>43</v>
      </c>
      <c r="AJ358" s="7">
        <v>21</v>
      </c>
    </row>
    <row r="359" spans="1:36" hidden="1" x14ac:dyDescent="0.3">
      <c r="A359" s="4" t="s">
        <v>36</v>
      </c>
      <c r="B359" s="4" t="s">
        <v>37</v>
      </c>
      <c r="C359" s="4" t="s">
        <v>796</v>
      </c>
      <c r="D359" s="4" t="s">
        <v>797</v>
      </c>
      <c r="E359" s="4" t="s">
        <v>46</v>
      </c>
      <c r="F359" s="4" t="s">
        <v>168</v>
      </c>
      <c r="G359" s="4" t="s">
        <v>52</v>
      </c>
      <c r="H359" s="5">
        <v>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1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1</v>
      </c>
      <c r="V359" s="5">
        <v>0</v>
      </c>
      <c r="W359" s="5">
        <v>0</v>
      </c>
      <c r="X359" s="5">
        <v>0</v>
      </c>
      <c r="Y359" s="5">
        <v>1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1</v>
      </c>
      <c r="AF359" s="5">
        <v>0</v>
      </c>
      <c r="AG359" s="5">
        <v>0</v>
      </c>
      <c r="AH359" s="5">
        <v>0</v>
      </c>
      <c r="AI359" s="6" t="s">
        <v>53</v>
      </c>
      <c r="AJ359" s="7">
        <v>5</v>
      </c>
    </row>
    <row r="360" spans="1:36" hidden="1" x14ac:dyDescent="0.3">
      <c r="A360" s="4" t="s">
        <v>36</v>
      </c>
      <c r="B360" s="4" t="s">
        <v>37</v>
      </c>
      <c r="C360" s="4" t="s">
        <v>798</v>
      </c>
      <c r="D360" s="4" t="s">
        <v>799</v>
      </c>
      <c r="E360" s="4" t="s">
        <v>46</v>
      </c>
      <c r="F360" s="4" t="s">
        <v>59</v>
      </c>
      <c r="G360" s="4" t="s">
        <v>60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6" t="s">
        <v>53</v>
      </c>
      <c r="AJ360" s="7">
        <v>0</v>
      </c>
    </row>
    <row r="361" spans="1:36" hidden="1" x14ac:dyDescent="0.3">
      <c r="A361" s="4" t="s">
        <v>36</v>
      </c>
      <c r="B361" s="4" t="s">
        <v>37</v>
      </c>
      <c r="C361" s="4" t="s">
        <v>800</v>
      </c>
      <c r="D361" s="4" t="s">
        <v>801</v>
      </c>
      <c r="E361" s="4" t="s">
        <v>214</v>
      </c>
      <c r="F361" s="4" t="s">
        <v>215</v>
      </c>
      <c r="G361" s="4" t="s">
        <v>42</v>
      </c>
      <c r="H361" s="5">
        <v>1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1</v>
      </c>
      <c r="O361" s="5">
        <v>0</v>
      </c>
      <c r="P361" s="5">
        <v>0</v>
      </c>
      <c r="Q361" s="5">
        <v>0</v>
      </c>
      <c r="R361" s="5">
        <v>0</v>
      </c>
      <c r="S361" s="5">
        <v>1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6" t="s">
        <v>53</v>
      </c>
      <c r="AJ361" s="7">
        <v>3</v>
      </c>
    </row>
    <row r="362" spans="1:36" hidden="1" x14ac:dyDescent="0.3">
      <c r="A362" s="4" t="s">
        <v>36</v>
      </c>
      <c r="B362" s="4" t="s">
        <v>37</v>
      </c>
      <c r="C362" s="4" t="s">
        <v>802</v>
      </c>
      <c r="D362" s="4" t="s">
        <v>803</v>
      </c>
      <c r="E362" s="4" t="s">
        <v>46</v>
      </c>
      <c r="F362" s="4" t="s">
        <v>96</v>
      </c>
      <c r="G362" s="4" t="s">
        <v>64</v>
      </c>
      <c r="H362" s="5">
        <v>1</v>
      </c>
      <c r="I362" s="5">
        <v>1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6" t="s">
        <v>53</v>
      </c>
      <c r="AJ362" s="7">
        <v>2</v>
      </c>
    </row>
    <row r="363" spans="1:36" hidden="1" x14ac:dyDescent="0.3">
      <c r="A363" s="4" t="s">
        <v>36</v>
      </c>
      <c r="B363" s="4" t="s">
        <v>37</v>
      </c>
      <c r="C363" s="4" t="s">
        <v>804</v>
      </c>
      <c r="D363" s="4" t="s">
        <v>805</v>
      </c>
      <c r="E363" s="4" t="s">
        <v>46</v>
      </c>
      <c r="F363" s="4" t="s">
        <v>80</v>
      </c>
      <c r="G363" s="4" t="s">
        <v>64</v>
      </c>
      <c r="H363" s="5">
        <v>1</v>
      </c>
      <c r="I363" s="5">
        <v>1</v>
      </c>
      <c r="J363" s="5">
        <v>1</v>
      </c>
      <c r="K363" s="5">
        <v>0</v>
      </c>
      <c r="L363" s="5">
        <v>0</v>
      </c>
      <c r="M363" s="5">
        <v>0</v>
      </c>
      <c r="N363" s="5">
        <v>1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1</v>
      </c>
      <c r="V363" s="5">
        <v>0</v>
      </c>
      <c r="W363" s="5">
        <v>0</v>
      </c>
      <c r="X363" s="5">
        <v>0</v>
      </c>
      <c r="Y363" s="5">
        <v>1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1</v>
      </c>
      <c r="AI363" s="6" t="s">
        <v>43</v>
      </c>
      <c r="AJ363" s="7">
        <v>7</v>
      </c>
    </row>
    <row r="364" spans="1:36" hidden="1" x14ac:dyDescent="0.3">
      <c r="A364" s="4" t="s">
        <v>36</v>
      </c>
      <c r="B364" s="4" t="s">
        <v>37</v>
      </c>
      <c r="C364" s="4" t="s">
        <v>806</v>
      </c>
      <c r="D364" s="4" t="s">
        <v>807</v>
      </c>
      <c r="E364" s="4" t="s">
        <v>46</v>
      </c>
      <c r="F364" s="4" t="s">
        <v>140</v>
      </c>
      <c r="G364" s="4" t="s">
        <v>42</v>
      </c>
      <c r="H364" s="5">
        <v>1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1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1</v>
      </c>
      <c r="AF364" s="5">
        <v>0</v>
      </c>
      <c r="AG364" s="5">
        <v>0</v>
      </c>
      <c r="AH364" s="5">
        <v>0</v>
      </c>
      <c r="AI364" s="6" t="s">
        <v>53</v>
      </c>
      <c r="AJ364" s="7">
        <v>3</v>
      </c>
    </row>
    <row r="365" spans="1:36" hidden="1" x14ac:dyDescent="0.3">
      <c r="A365" s="4" t="s">
        <v>36</v>
      </c>
      <c r="B365" s="4" t="s">
        <v>37</v>
      </c>
      <c r="C365" s="4" t="s">
        <v>808</v>
      </c>
      <c r="D365" s="4" t="s">
        <v>809</v>
      </c>
      <c r="E365" s="4" t="s">
        <v>46</v>
      </c>
      <c r="F365" s="4" t="s">
        <v>59</v>
      </c>
      <c r="G365" s="4" t="s">
        <v>60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1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6" t="s">
        <v>53</v>
      </c>
      <c r="AJ365" s="7">
        <v>1</v>
      </c>
    </row>
    <row r="366" spans="1:36" hidden="1" x14ac:dyDescent="0.3">
      <c r="A366" s="4" t="s">
        <v>36</v>
      </c>
      <c r="B366" s="4" t="s">
        <v>37</v>
      </c>
      <c r="C366" s="4" t="s">
        <v>810</v>
      </c>
      <c r="D366" s="4" t="s">
        <v>811</v>
      </c>
      <c r="E366" s="4" t="s">
        <v>46</v>
      </c>
      <c r="F366" s="4" t="s">
        <v>83</v>
      </c>
      <c r="G366" s="4" t="s">
        <v>52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1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6" t="s">
        <v>53</v>
      </c>
      <c r="AJ366" s="7">
        <v>1</v>
      </c>
    </row>
    <row r="367" spans="1:36" hidden="1" x14ac:dyDescent="0.3">
      <c r="A367" s="4" t="s">
        <v>36</v>
      </c>
      <c r="B367" s="4" t="s">
        <v>37</v>
      </c>
      <c r="C367" s="4" t="s">
        <v>812</v>
      </c>
      <c r="D367" s="4" t="s">
        <v>813</v>
      </c>
      <c r="E367" s="4" t="s">
        <v>46</v>
      </c>
      <c r="F367" s="4" t="s">
        <v>168</v>
      </c>
      <c r="G367" s="4" t="s">
        <v>52</v>
      </c>
      <c r="H367" s="5">
        <v>1</v>
      </c>
      <c r="I367" s="5">
        <v>1</v>
      </c>
      <c r="J367" s="5">
        <v>0</v>
      </c>
      <c r="K367" s="5">
        <v>1</v>
      </c>
      <c r="L367" s="5">
        <v>1</v>
      </c>
      <c r="M367" s="5">
        <v>0</v>
      </c>
      <c r="N367" s="5">
        <v>1</v>
      </c>
      <c r="O367" s="5">
        <v>0</v>
      </c>
      <c r="P367" s="5">
        <v>0</v>
      </c>
      <c r="Q367" s="5">
        <v>1</v>
      </c>
      <c r="R367" s="5">
        <v>1</v>
      </c>
      <c r="S367" s="5">
        <v>0</v>
      </c>
      <c r="T367" s="5">
        <v>0</v>
      </c>
      <c r="U367" s="5">
        <v>1</v>
      </c>
      <c r="V367" s="5">
        <v>0</v>
      </c>
      <c r="W367" s="5">
        <v>0</v>
      </c>
      <c r="X367" s="5">
        <v>0</v>
      </c>
      <c r="Y367" s="5">
        <v>1</v>
      </c>
      <c r="Z367" s="5">
        <v>0</v>
      </c>
      <c r="AA367" s="5">
        <v>0</v>
      </c>
      <c r="AB367" s="5">
        <v>1</v>
      </c>
      <c r="AC367" s="5">
        <v>1</v>
      </c>
      <c r="AD367" s="5">
        <v>0</v>
      </c>
      <c r="AE367" s="5">
        <v>0</v>
      </c>
      <c r="AF367" s="5">
        <v>0</v>
      </c>
      <c r="AG367" s="5">
        <v>0</v>
      </c>
      <c r="AH367" s="5">
        <v>1</v>
      </c>
      <c r="AI367" s="6" t="s">
        <v>43</v>
      </c>
      <c r="AJ367" s="7">
        <v>12</v>
      </c>
    </row>
    <row r="368" spans="1:36" hidden="1" x14ac:dyDescent="0.3">
      <c r="A368" s="4" t="s">
        <v>36</v>
      </c>
      <c r="B368" s="4" t="s">
        <v>37</v>
      </c>
      <c r="C368" s="4" t="s">
        <v>814</v>
      </c>
      <c r="D368" s="4" t="s">
        <v>815</v>
      </c>
      <c r="E368" s="4" t="s">
        <v>46</v>
      </c>
      <c r="F368" s="4" t="s">
        <v>72</v>
      </c>
      <c r="G368" s="4" t="s">
        <v>52</v>
      </c>
      <c r="H368" s="5">
        <v>1</v>
      </c>
      <c r="I368" s="5">
        <v>1</v>
      </c>
      <c r="J368" s="5">
        <v>0</v>
      </c>
      <c r="K368" s="5">
        <v>1</v>
      </c>
      <c r="L368" s="5">
        <v>0</v>
      </c>
      <c r="M368" s="5">
        <v>1</v>
      </c>
      <c r="N368" s="5">
        <v>1</v>
      </c>
      <c r="O368" s="5">
        <v>0</v>
      </c>
      <c r="P368" s="5">
        <v>1</v>
      </c>
      <c r="Q368" s="5">
        <v>1</v>
      </c>
      <c r="R368" s="5">
        <v>0</v>
      </c>
      <c r="S368" s="5">
        <v>0</v>
      </c>
      <c r="T368" s="5">
        <v>0</v>
      </c>
      <c r="U368" s="5">
        <v>1</v>
      </c>
      <c r="V368" s="5">
        <v>0</v>
      </c>
      <c r="W368" s="5">
        <v>0</v>
      </c>
      <c r="X368" s="5">
        <v>1</v>
      </c>
      <c r="Y368" s="5">
        <v>0</v>
      </c>
      <c r="Z368" s="5">
        <v>0</v>
      </c>
      <c r="AA368" s="5">
        <v>1</v>
      </c>
      <c r="AB368" s="5">
        <v>1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6" t="s">
        <v>43</v>
      </c>
      <c r="AJ368" s="7">
        <v>11</v>
      </c>
    </row>
    <row r="369" spans="1:36" hidden="1" x14ac:dyDescent="0.3">
      <c r="A369" s="4" t="s">
        <v>36</v>
      </c>
      <c r="B369" s="4" t="s">
        <v>37</v>
      </c>
      <c r="C369" s="4" t="s">
        <v>816</v>
      </c>
      <c r="D369" s="4" t="s">
        <v>817</v>
      </c>
      <c r="E369" s="4" t="s">
        <v>46</v>
      </c>
      <c r="F369" s="4" t="s">
        <v>86</v>
      </c>
      <c r="G369" s="4" t="s">
        <v>42</v>
      </c>
      <c r="H369" s="5">
        <v>1</v>
      </c>
      <c r="I369" s="5">
        <v>1</v>
      </c>
      <c r="J369" s="5">
        <v>0</v>
      </c>
      <c r="K369" s="5">
        <v>0</v>
      </c>
      <c r="L369" s="5">
        <v>0</v>
      </c>
      <c r="M369" s="5">
        <v>0</v>
      </c>
      <c r="N369" s="5">
        <v>1</v>
      </c>
      <c r="O369" s="5">
        <v>0</v>
      </c>
      <c r="P369" s="5">
        <v>0</v>
      </c>
      <c r="Q369" s="5">
        <v>1</v>
      </c>
      <c r="R369" s="5">
        <v>0</v>
      </c>
      <c r="S369" s="5">
        <v>0</v>
      </c>
      <c r="T369" s="5">
        <v>0</v>
      </c>
      <c r="U369" s="5">
        <v>1</v>
      </c>
      <c r="V369" s="5">
        <v>1</v>
      </c>
      <c r="W369" s="5">
        <v>1</v>
      </c>
      <c r="X369" s="5">
        <v>1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1</v>
      </c>
      <c r="AF369" s="5">
        <v>0</v>
      </c>
      <c r="AG369" s="5">
        <v>0</v>
      </c>
      <c r="AH369" s="5">
        <v>0</v>
      </c>
      <c r="AI369" s="6" t="s">
        <v>43</v>
      </c>
      <c r="AJ369" s="7">
        <v>9</v>
      </c>
    </row>
    <row r="370" spans="1:36" hidden="1" x14ac:dyDescent="0.3">
      <c r="A370" s="4" t="s">
        <v>36</v>
      </c>
      <c r="B370" s="4" t="s">
        <v>37</v>
      </c>
      <c r="C370" s="4" t="s">
        <v>818</v>
      </c>
      <c r="D370" s="4" t="s">
        <v>819</v>
      </c>
      <c r="E370" s="4" t="s">
        <v>46</v>
      </c>
      <c r="F370" s="4" t="s">
        <v>168</v>
      </c>
      <c r="G370" s="4" t="s">
        <v>52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1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6" t="s">
        <v>53</v>
      </c>
      <c r="AJ370" s="7">
        <v>1</v>
      </c>
    </row>
    <row r="371" spans="1:36" hidden="1" x14ac:dyDescent="0.3">
      <c r="A371" s="4" t="s">
        <v>36</v>
      </c>
      <c r="B371" s="4" t="s">
        <v>37</v>
      </c>
      <c r="C371" s="4" t="s">
        <v>820</v>
      </c>
      <c r="D371" s="4" t="s">
        <v>821</v>
      </c>
      <c r="E371" s="4" t="s">
        <v>46</v>
      </c>
      <c r="F371" s="4" t="s">
        <v>96</v>
      </c>
      <c r="G371" s="4" t="s">
        <v>64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1</v>
      </c>
      <c r="Q371" s="5">
        <v>1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1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6" t="s">
        <v>43</v>
      </c>
      <c r="AJ371" s="7">
        <v>3</v>
      </c>
    </row>
    <row r="372" spans="1:36" hidden="1" x14ac:dyDescent="0.3">
      <c r="A372" s="4" t="s">
        <v>36</v>
      </c>
      <c r="B372" s="4" t="s">
        <v>37</v>
      </c>
      <c r="C372" s="4" t="s">
        <v>822</v>
      </c>
      <c r="D372" s="4" t="s">
        <v>823</v>
      </c>
      <c r="E372" s="4" t="s">
        <v>46</v>
      </c>
      <c r="F372" s="4" t="s">
        <v>59</v>
      </c>
      <c r="G372" s="4" t="s">
        <v>60</v>
      </c>
      <c r="H372" s="5">
        <v>1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6" t="s">
        <v>53</v>
      </c>
      <c r="AJ372" s="7">
        <v>1</v>
      </c>
    </row>
    <row r="373" spans="1:36" hidden="1" x14ac:dyDescent="0.3">
      <c r="A373" s="4" t="s">
        <v>36</v>
      </c>
      <c r="B373" s="4" t="s">
        <v>37</v>
      </c>
      <c r="C373" s="4" t="s">
        <v>824</v>
      </c>
      <c r="D373" s="4" t="s">
        <v>825</v>
      </c>
      <c r="E373" s="4" t="s">
        <v>46</v>
      </c>
      <c r="F373" s="4" t="s">
        <v>83</v>
      </c>
      <c r="G373" s="4" t="s">
        <v>52</v>
      </c>
      <c r="H373" s="5">
        <v>0</v>
      </c>
      <c r="I373" s="5">
        <v>0</v>
      </c>
      <c r="J373" s="5">
        <v>0</v>
      </c>
      <c r="K373" s="5">
        <v>0</v>
      </c>
      <c r="L373" s="5">
        <v>1</v>
      </c>
      <c r="M373" s="5">
        <v>0</v>
      </c>
      <c r="N373" s="5">
        <v>1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1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1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6" t="s">
        <v>53</v>
      </c>
      <c r="AJ373" s="7">
        <v>4</v>
      </c>
    </row>
    <row r="374" spans="1:36" hidden="1" x14ac:dyDescent="0.3">
      <c r="A374" s="4" t="s">
        <v>36</v>
      </c>
      <c r="B374" s="4" t="s">
        <v>37</v>
      </c>
      <c r="C374" s="4" t="s">
        <v>826</v>
      </c>
      <c r="D374" s="4" t="s">
        <v>827</v>
      </c>
      <c r="E374" s="4" t="s">
        <v>46</v>
      </c>
      <c r="F374" s="4" t="s">
        <v>59</v>
      </c>
      <c r="G374" s="4" t="s">
        <v>60</v>
      </c>
      <c r="H374" s="5">
        <v>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6" t="s">
        <v>53</v>
      </c>
      <c r="AJ374" s="7">
        <v>1</v>
      </c>
    </row>
    <row r="375" spans="1:36" hidden="1" x14ac:dyDescent="0.3">
      <c r="A375" s="4" t="s">
        <v>36</v>
      </c>
      <c r="B375" s="4" t="s">
        <v>37</v>
      </c>
      <c r="C375" s="4" t="s">
        <v>828</v>
      </c>
      <c r="D375" s="4" t="s">
        <v>829</v>
      </c>
      <c r="E375" s="4" t="s">
        <v>46</v>
      </c>
      <c r="F375" s="4" t="s">
        <v>59</v>
      </c>
      <c r="G375" s="4" t="s">
        <v>60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1</v>
      </c>
      <c r="U375" s="5">
        <v>1</v>
      </c>
      <c r="V375" s="5">
        <v>1</v>
      </c>
      <c r="W375" s="5">
        <v>1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1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6" t="s">
        <v>43</v>
      </c>
      <c r="AJ375" s="7">
        <v>5</v>
      </c>
    </row>
    <row r="376" spans="1:36" hidden="1" x14ac:dyDescent="0.3">
      <c r="A376" s="4" t="s">
        <v>36</v>
      </c>
      <c r="B376" s="4" t="s">
        <v>37</v>
      </c>
      <c r="C376" s="4" t="s">
        <v>830</v>
      </c>
      <c r="D376" s="4" t="s">
        <v>831</v>
      </c>
      <c r="E376" s="4" t="s">
        <v>46</v>
      </c>
      <c r="F376" s="4" t="s">
        <v>83</v>
      </c>
      <c r="G376" s="4" t="s">
        <v>52</v>
      </c>
      <c r="H376" s="5">
        <v>1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1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6" t="s">
        <v>53</v>
      </c>
      <c r="AJ376" s="7">
        <v>2</v>
      </c>
    </row>
    <row r="377" spans="1:36" hidden="1" x14ac:dyDescent="0.3">
      <c r="A377" s="4" t="s">
        <v>36</v>
      </c>
      <c r="B377" s="4" t="s">
        <v>37</v>
      </c>
      <c r="C377" s="4" t="s">
        <v>832</v>
      </c>
      <c r="D377" s="4" t="s">
        <v>833</v>
      </c>
      <c r="E377" s="4" t="s">
        <v>46</v>
      </c>
      <c r="F377" s="4" t="s">
        <v>168</v>
      </c>
      <c r="G377" s="4" t="s">
        <v>52</v>
      </c>
      <c r="H377" s="5">
        <v>1</v>
      </c>
      <c r="I377" s="5">
        <v>1</v>
      </c>
      <c r="J377" s="5">
        <v>0</v>
      </c>
      <c r="K377" s="5">
        <v>1</v>
      </c>
      <c r="L377" s="5">
        <v>1</v>
      </c>
      <c r="M377" s="5">
        <v>0</v>
      </c>
      <c r="N377" s="5">
        <v>1</v>
      </c>
      <c r="O377" s="5">
        <v>1</v>
      </c>
      <c r="P377" s="5">
        <v>1</v>
      </c>
      <c r="Q377" s="5">
        <v>1</v>
      </c>
      <c r="R377" s="5">
        <v>0</v>
      </c>
      <c r="S377" s="5">
        <v>0</v>
      </c>
      <c r="T377" s="5">
        <v>1</v>
      </c>
      <c r="U377" s="5">
        <v>1</v>
      </c>
      <c r="V377" s="5">
        <v>0</v>
      </c>
      <c r="W377" s="5">
        <v>0</v>
      </c>
      <c r="X377" s="5">
        <v>1</v>
      </c>
      <c r="Y377" s="5">
        <v>0</v>
      </c>
      <c r="Z377" s="5">
        <v>0</v>
      </c>
      <c r="AA377" s="5">
        <v>1</v>
      </c>
      <c r="AB377" s="5">
        <v>1</v>
      </c>
      <c r="AC377" s="5">
        <v>1</v>
      </c>
      <c r="AD377" s="5">
        <v>0</v>
      </c>
      <c r="AE377" s="5">
        <v>0</v>
      </c>
      <c r="AF377" s="5">
        <v>0</v>
      </c>
      <c r="AG377" s="5">
        <v>0</v>
      </c>
      <c r="AH377" s="5">
        <v>1</v>
      </c>
      <c r="AI377" s="6" t="s">
        <v>43</v>
      </c>
      <c r="AJ377" s="7">
        <v>15</v>
      </c>
    </row>
    <row r="378" spans="1:36" hidden="1" x14ac:dyDescent="0.3">
      <c r="A378" s="4" t="s">
        <v>36</v>
      </c>
      <c r="B378" s="4" t="s">
        <v>37</v>
      </c>
      <c r="C378" s="4" t="s">
        <v>834</v>
      </c>
      <c r="D378" s="4" t="s">
        <v>835</v>
      </c>
      <c r="E378" s="4" t="s">
        <v>46</v>
      </c>
      <c r="F378" s="4" t="s">
        <v>59</v>
      </c>
      <c r="G378" s="4" t="s">
        <v>60</v>
      </c>
      <c r="H378" s="5">
        <v>1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1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1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6" t="s">
        <v>53</v>
      </c>
      <c r="AJ378" s="7">
        <v>3</v>
      </c>
    </row>
    <row r="379" spans="1:36" hidden="1" x14ac:dyDescent="0.3">
      <c r="A379" s="4" t="s">
        <v>36</v>
      </c>
      <c r="B379" s="4" t="s">
        <v>37</v>
      </c>
      <c r="C379" s="4" t="s">
        <v>836</v>
      </c>
      <c r="D379" s="4" t="s">
        <v>837</v>
      </c>
      <c r="E379" s="4" t="s">
        <v>46</v>
      </c>
      <c r="F379" s="4" t="s">
        <v>168</v>
      </c>
      <c r="G379" s="4" t="s">
        <v>52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1</v>
      </c>
      <c r="Q379" s="5">
        <v>0</v>
      </c>
      <c r="R379" s="5">
        <v>1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6" t="s">
        <v>53</v>
      </c>
      <c r="AJ379" s="7">
        <v>2</v>
      </c>
    </row>
    <row r="380" spans="1:36" hidden="1" x14ac:dyDescent="0.3">
      <c r="A380" s="4" t="s">
        <v>36</v>
      </c>
      <c r="B380" s="4" t="s">
        <v>37</v>
      </c>
      <c r="C380" s="4" t="s">
        <v>838</v>
      </c>
      <c r="D380" s="4" t="s">
        <v>839</v>
      </c>
      <c r="E380" s="4" t="s">
        <v>46</v>
      </c>
      <c r="F380" s="4" t="s">
        <v>59</v>
      </c>
      <c r="G380" s="4" t="s">
        <v>60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1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6" t="s">
        <v>53</v>
      </c>
      <c r="AJ380" s="7">
        <v>1</v>
      </c>
    </row>
    <row r="381" spans="1:36" hidden="1" x14ac:dyDescent="0.3">
      <c r="A381" s="4" t="s">
        <v>36</v>
      </c>
      <c r="B381" s="4" t="s">
        <v>37</v>
      </c>
      <c r="C381" s="4" t="s">
        <v>840</v>
      </c>
      <c r="D381" s="4" t="s">
        <v>841</v>
      </c>
      <c r="E381" s="4" t="s">
        <v>214</v>
      </c>
      <c r="F381" s="4" t="s">
        <v>215</v>
      </c>
      <c r="G381" s="4" t="s">
        <v>42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6" t="s">
        <v>53</v>
      </c>
      <c r="AJ381" s="7">
        <v>0</v>
      </c>
    </row>
    <row r="382" spans="1:36" hidden="1" x14ac:dyDescent="0.3">
      <c r="A382" s="4" t="s">
        <v>36</v>
      </c>
      <c r="B382" s="4" t="s">
        <v>37</v>
      </c>
      <c r="C382" s="4" t="s">
        <v>842</v>
      </c>
      <c r="D382" s="4" t="s">
        <v>843</v>
      </c>
      <c r="E382" s="4" t="s">
        <v>214</v>
      </c>
      <c r="F382" s="4" t="s">
        <v>215</v>
      </c>
      <c r="G382" s="4" t="s">
        <v>42</v>
      </c>
      <c r="H382" s="5">
        <v>1</v>
      </c>
      <c r="I382" s="5">
        <v>0</v>
      </c>
      <c r="J382" s="5">
        <v>0</v>
      </c>
      <c r="K382" s="5">
        <v>0</v>
      </c>
      <c r="L382" s="5">
        <v>1</v>
      </c>
      <c r="M382" s="5">
        <v>0</v>
      </c>
      <c r="N382" s="5">
        <v>1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1</v>
      </c>
      <c r="AH382" s="5">
        <v>0</v>
      </c>
      <c r="AI382" s="6" t="s">
        <v>53</v>
      </c>
      <c r="AJ382" s="7">
        <v>4</v>
      </c>
    </row>
    <row r="383" spans="1:36" hidden="1" x14ac:dyDescent="0.3">
      <c r="A383" s="4" t="s">
        <v>36</v>
      </c>
      <c r="B383" s="4" t="s">
        <v>37</v>
      </c>
      <c r="C383" s="4" t="s">
        <v>844</v>
      </c>
      <c r="D383" s="4" t="s">
        <v>845</v>
      </c>
      <c r="E383" s="4" t="s">
        <v>214</v>
      </c>
      <c r="F383" s="4" t="s">
        <v>215</v>
      </c>
      <c r="G383" s="4" t="s">
        <v>42</v>
      </c>
      <c r="H383" s="5">
        <v>1</v>
      </c>
      <c r="I383" s="5">
        <v>0</v>
      </c>
      <c r="J383" s="5">
        <v>0</v>
      </c>
      <c r="K383" s="5">
        <v>0</v>
      </c>
      <c r="L383" s="5">
        <v>1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1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6" t="s">
        <v>53</v>
      </c>
      <c r="AJ383" s="7">
        <v>3</v>
      </c>
    </row>
    <row r="384" spans="1:36" hidden="1" x14ac:dyDescent="0.3">
      <c r="A384" s="4" t="s">
        <v>36</v>
      </c>
      <c r="B384" s="4" t="s">
        <v>37</v>
      </c>
      <c r="C384" s="4" t="s">
        <v>846</v>
      </c>
      <c r="D384" s="4" t="s">
        <v>847</v>
      </c>
      <c r="E384" s="4" t="s">
        <v>214</v>
      </c>
      <c r="F384" s="4" t="s">
        <v>215</v>
      </c>
      <c r="G384" s="4" t="s">
        <v>42</v>
      </c>
      <c r="H384" s="5">
        <v>1</v>
      </c>
      <c r="I384" s="5">
        <v>0</v>
      </c>
      <c r="J384" s="5">
        <v>0</v>
      </c>
      <c r="K384" s="5">
        <v>0</v>
      </c>
      <c r="L384" s="5">
        <v>1</v>
      </c>
      <c r="M384" s="5">
        <v>0</v>
      </c>
      <c r="N384" s="5">
        <v>1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1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6" t="s">
        <v>53</v>
      </c>
      <c r="AJ384" s="7">
        <v>4</v>
      </c>
    </row>
    <row r="385" spans="1:36" hidden="1" x14ac:dyDescent="0.3">
      <c r="A385" s="4" t="s">
        <v>36</v>
      </c>
      <c r="B385" s="4" t="s">
        <v>37</v>
      </c>
      <c r="C385" s="4" t="s">
        <v>848</v>
      </c>
      <c r="D385" s="4" t="s">
        <v>849</v>
      </c>
      <c r="E385" s="4" t="s">
        <v>214</v>
      </c>
      <c r="F385" s="4" t="s">
        <v>215</v>
      </c>
      <c r="G385" s="4" t="s">
        <v>42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1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6" t="s">
        <v>53</v>
      </c>
      <c r="AJ385" s="7">
        <v>1</v>
      </c>
    </row>
    <row r="386" spans="1:36" hidden="1" x14ac:dyDescent="0.3">
      <c r="A386" s="4" t="s">
        <v>36</v>
      </c>
      <c r="B386" s="4" t="s">
        <v>37</v>
      </c>
      <c r="C386" s="4" t="s">
        <v>850</v>
      </c>
      <c r="D386" s="4" t="s">
        <v>851</v>
      </c>
      <c r="E386" s="4" t="s">
        <v>46</v>
      </c>
      <c r="F386" s="4" t="s">
        <v>125</v>
      </c>
      <c r="G386" s="4" t="s">
        <v>60</v>
      </c>
      <c r="H386" s="5">
        <v>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1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1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6" t="s">
        <v>43</v>
      </c>
      <c r="AJ386" s="7">
        <v>3</v>
      </c>
    </row>
    <row r="387" spans="1:36" hidden="1" x14ac:dyDescent="0.3">
      <c r="A387" s="4" t="s">
        <v>36</v>
      </c>
      <c r="B387" s="4" t="s">
        <v>37</v>
      </c>
      <c r="C387" s="4" t="s">
        <v>852</v>
      </c>
      <c r="D387" s="4" t="s">
        <v>853</v>
      </c>
      <c r="E387" s="4" t="s">
        <v>46</v>
      </c>
      <c r="F387" s="4" t="s">
        <v>93</v>
      </c>
      <c r="G387" s="4" t="s">
        <v>42</v>
      </c>
      <c r="H387" s="5">
        <v>0</v>
      </c>
      <c r="I387" s="5">
        <v>0</v>
      </c>
      <c r="J387" s="5">
        <v>1</v>
      </c>
      <c r="K387" s="5">
        <v>0</v>
      </c>
      <c r="L387" s="5">
        <v>0</v>
      </c>
      <c r="M387" s="5">
        <v>0</v>
      </c>
      <c r="N387" s="5">
        <v>0</v>
      </c>
      <c r="O387" s="5">
        <v>1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6" t="s">
        <v>43</v>
      </c>
      <c r="AJ387" s="7">
        <v>2</v>
      </c>
    </row>
    <row r="388" spans="1:36" hidden="1" x14ac:dyDescent="0.3">
      <c r="A388" s="4" t="s">
        <v>36</v>
      </c>
      <c r="B388" s="4" t="s">
        <v>37</v>
      </c>
      <c r="C388" s="4" t="s">
        <v>854</v>
      </c>
      <c r="D388" s="4" t="s">
        <v>855</v>
      </c>
      <c r="E388" s="4" t="s">
        <v>46</v>
      </c>
      <c r="F388" s="4" t="s">
        <v>83</v>
      </c>
      <c r="G388" s="4" t="s">
        <v>52</v>
      </c>
      <c r="H388" s="5">
        <v>0</v>
      </c>
      <c r="I388" s="5">
        <v>1</v>
      </c>
      <c r="J388" s="5">
        <v>1</v>
      </c>
      <c r="K388" s="5">
        <v>0</v>
      </c>
      <c r="L388" s="5">
        <v>0</v>
      </c>
      <c r="M388" s="5">
        <v>0</v>
      </c>
      <c r="N388" s="5">
        <v>1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6" t="s">
        <v>43</v>
      </c>
      <c r="AJ388" s="7">
        <v>3</v>
      </c>
    </row>
    <row r="389" spans="1:36" hidden="1" x14ac:dyDescent="0.3">
      <c r="A389" s="4" t="s">
        <v>36</v>
      </c>
      <c r="B389" s="4" t="s">
        <v>37</v>
      </c>
      <c r="C389" s="4" t="s">
        <v>856</v>
      </c>
      <c r="D389" s="4" t="s">
        <v>857</v>
      </c>
      <c r="E389" s="4" t="s">
        <v>46</v>
      </c>
      <c r="F389" s="4" t="s">
        <v>96</v>
      </c>
      <c r="G389" s="4" t="s">
        <v>64</v>
      </c>
      <c r="H389" s="5">
        <v>0</v>
      </c>
      <c r="I389" s="5">
        <v>0</v>
      </c>
      <c r="J389" s="5">
        <v>0</v>
      </c>
      <c r="K389" s="5">
        <v>0</v>
      </c>
      <c r="L389" s="5">
        <v>1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1</v>
      </c>
      <c r="V389" s="5">
        <v>0</v>
      </c>
      <c r="W389" s="5">
        <v>1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6" t="s">
        <v>53</v>
      </c>
      <c r="AJ389" s="7">
        <v>3</v>
      </c>
    </row>
    <row r="390" spans="1:36" hidden="1" x14ac:dyDescent="0.3">
      <c r="A390" s="4" t="s">
        <v>36</v>
      </c>
      <c r="B390" s="4" t="s">
        <v>37</v>
      </c>
      <c r="C390" s="4" t="s">
        <v>858</v>
      </c>
      <c r="D390" s="4" t="s">
        <v>859</v>
      </c>
      <c r="E390" s="4" t="s">
        <v>46</v>
      </c>
      <c r="F390" s="4" t="s">
        <v>168</v>
      </c>
      <c r="G390" s="4" t="s">
        <v>52</v>
      </c>
      <c r="H390" s="5">
        <v>1</v>
      </c>
      <c r="I390" s="5">
        <v>1</v>
      </c>
      <c r="J390" s="5">
        <v>1</v>
      </c>
      <c r="K390" s="5">
        <v>1</v>
      </c>
      <c r="L390" s="5">
        <v>1</v>
      </c>
      <c r="M390" s="5">
        <v>1</v>
      </c>
      <c r="N390" s="5">
        <v>1</v>
      </c>
      <c r="O390" s="5">
        <v>1</v>
      </c>
      <c r="P390" s="5">
        <v>1</v>
      </c>
      <c r="Q390" s="5">
        <v>1</v>
      </c>
      <c r="R390" s="5">
        <v>0</v>
      </c>
      <c r="S390" s="5">
        <v>0</v>
      </c>
      <c r="T390" s="5">
        <v>1</v>
      </c>
      <c r="U390" s="5">
        <v>1</v>
      </c>
      <c r="V390" s="5">
        <v>1</v>
      </c>
      <c r="W390" s="5">
        <v>0</v>
      </c>
      <c r="X390" s="5">
        <v>0</v>
      </c>
      <c r="Y390" s="5">
        <v>1</v>
      </c>
      <c r="Z390" s="5">
        <v>0</v>
      </c>
      <c r="AA390" s="5">
        <v>1</v>
      </c>
      <c r="AB390" s="5">
        <v>1</v>
      </c>
      <c r="AC390" s="5">
        <v>1</v>
      </c>
      <c r="AD390" s="5">
        <v>0</v>
      </c>
      <c r="AE390" s="5">
        <v>1</v>
      </c>
      <c r="AF390" s="5">
        <v>1</v>
      </c>
      <c r="AG390" s="5">
        <v>1</v>
      </c>
      <c r="AH390" s="5">
        <v>1</v>
      </c>
      <c r="AI390" s="6" t="s">
        <v>43</v>
      </c>
      <c r="AJ390" s="7">
        <v>21</v>
      </c>
    </row>
    <row r="391" spans="1:36" hidden="1" x14ac:dyDescent="0.3">
      <c r="A391" s="4" t="s">
        <v>36</v>
      </c>
      <c r="B391" s="4" t="s">
        <v>37</v>
      </c>
      <c r="C391" s="4" t="s">
        <v>860</v>
      </c>
      <c r="D391" s="4" t="s">
        <v>861</v>
      </c>
      <c r="E391" s="4" t="s">
        <v>46</v>
      </c>
      <c r="F391" s="4" t="s">
        <v>140</v>
      </c>
      <c r="G391" s="4" t="s">
        <v>42</v>
      </c>
      <c r="H391" s="5">
        <v>1</v>
      </c>
      <c r="I391" s="5">
        <v>1</v>
      </c>
      <c r="J391" s="5">
        <v>1</v>
      </c>
      <c r="K391" s="5">
        <v>0</v>
      </c>
      <c r="L391" s="5">
        <v>1</v>
      </c>
      <c r="M391" s="5">
        <v>0</v>
      </c>
      <c r="N391" s="5">
        <v>1</v>
      </c>
      <c r="O391" s="5">
        <v>1</v>
      </c>
      <c r="P391" s="5">
        <v>0</v>
      </c>
      <c r="Q391" s="5">
        <v>0</v>
      </c>
      <c r="R391" s="5">
        <v>0</v>
      </c>
      <c r="S391" s="5">
        <v>0</v>
      </c>
      <c r="T391" s="5">
        <v>1</v>
      </c>
      <c r="U391" s="5">
        <v>1</v>
      </c>
      <c r="V391" s="5">
        <v>0</v>
      </c>
      <c r="W391" s="5">
        <v>1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6" t="s">
        <v>43</v>
      </c>
      <c r="AJ391" s="7">
        <v>9</v>
      </c>
    </row>
    <row r="392" spans="1:36" hidden="1" x14ac:dyDescent="0.3">
      <c r="A392" s="4" t="s">
        <v>36</v>
      </c>
      <c r="B392" s="4" t="s">
        <v>37</v>
      </c>
      <c r="C392" s="4" t="s">
        <v>862</v>
      </c>
      <c r="D392" s="4" t="s">
        <v>863</v>
      </c>
      <c r="E392" s="4" t="s">
        <v>46</v>
      </c>
      <c r="F392" s="4" t="s">
        <v>59</v>
      </c>
      <c r="G392" s="4" t="s">
        <v>60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1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6" t="s">
        <v>53</v>
      </c>
      <c r="AJ392" s="7">
        <v>1</v>
      </c>
    </row>
    <row r="393" spans="1:36" hidden="1" x14ac:dyDescent="0.3">
      <c r="A393" s="4" t="s">
        <v>36</v>
      </c>
      <c r="B393" s="4" t="s">
        <v>37</v>
      </c>
      <c r="C393" s="4" t="s">
        <v>864</v>
      </c>
      <c r="D393" s="4" t="s">
        <v>865</v>
      </c>
      <c r="E393" s="4" t="s">
        <v>46</v>
      </c>
      <c r="F393" s="4" t="s">
        <v>86</v>
      </c>
      <c r="G393" s="4" t="s">
        <v>42</v>
      </c>
      <c r="H393" s="5">
        <v>1</v>
      </c>
      <c r="I393" s="5">
        <v>1</v>
      </c>
      <c r="J393" s="5">
        <v>0</v>
      </c>
      <c r="K393" s="5">
        <v>0</v>
      </c>
      <c r="L393" s="5">
        <v>1</v>
      </c>
      <c r="M393" s="5">
        <v>0</v>
      </c>
      <c r="N393" s="5">
        <v>1</v>
      </c>
      <c r="O393" s="5">
        <v>1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1</v>
      </c>
      <c r="V393" s="5">
        <v>1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1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1</v>
      </c>
      <c r="AI393" s="6" t="s">
        <v>43</v>
      </c>
      <c r="AJ393" s="7">
        <v>9</v>
      </c>
    </row>
    <row r="394" spans="1:36" hidden="1" x14ac:dyDescent="0.3">
      <c r="A394" s="4" t="s">
        <v>36</v>
      </c>
      <c r="B394" s="4" t="s">
        <v>37</v>
      </c>
      <c r="C394" s="4" t="s">
        <v>866</v>
      </c>
      <c r="D394" s="4" t="s">
        <v>867</v>
      </c>
      <c r="E394" s="4" t="s">
        <v>46</v>
      </c>
      <c r="F394" s="4" t="s">
        <v>83</v>
      </c>
      <c r="G394" s="4" t="s">
        <v>52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6" t="s">
        <v>53</v>
      </c>
      <c r="AJ394" s="7">
        <v>0</v>
      </c>
    </row>
    <row r="395" spans="1:36" hidden="1" x14ac:dyDescent="0.3">
      <c r="A395" s="4" t="s">
        <v>36</v>
      </c>
      <c r="B395" s="4" t="s">
        <v>37</v>
      </c>
      <c r="C395" s="4" t="s">
        <v>868</v>
      </c>
      <c r="D395" s="4" t="s">
        <v>869</v>
      </c>
      <c r="E395" s="4" t="s">
        <v>214</v>
      </c>
      <c r="F395" s="4" t="s">
        <v>215</v>
      </c>
      <c r="G395" s="4" t="s">
        <v>42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1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6" t="s">
        <v>53</v>
      </c>
      <c r="AJ395" s="7">
        <v>1</v>
      </c>
    </row>
    <row r="396" spans="1:36" hidden="1" x14ac:dyDescent="0.3">
      <c r="A396" s="4" t="s">
        <v>36</v>
      </c>
      <c r="B396" s="4" t="s">
        <v>37</v>
      </c>
      <c r="C396" s="4" t="s">
        <v>870</v>
      </c>
      <c r="D396" s="4" t="s">
        <v>871</v>
      </c>
      <c r="E396" s="4" t="s">
        <v>46</v>
      </c>
      <c r="F396" s="4" t="s">
        <v>51</v>
      </c>
      <c r="G396" s="4" t="s">
        <v>52</v>
      </c>
      <c r="H396" s="5">
        <v>1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6" t="s">
        <v>53</v>
      </c>
      <c r="AJ396" s="7">
        <v>1</v>
      </c>
    </row>
    <row r="397" spans="1:36" hidden="1" x14ac:dyDescent="0.3">
      <c r="A397" s="4" t="s">
        <v>36</v>
      </c>
      <c r="B397" s="4" t="s">
        <v>37</v>
      </c>
      <c r="C397" s="4" t="s">
        <v>872</v>
      </c>
      <c r="D397" s="4" t="s">
        <v>873</v>
      </c>
      <c r="E397" s="4" t="s">
        <v>46</v>
      </c>
      <c r="F397" s="4" t="s">
        <v>59</v>
      </c>
      <c r="G397" s="4" t="s">
        <v>60</v>
      </c>
      <c r="H397" s="5">
        <v>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6" t="s">
        <v>53</v>
      </c>
      <c r="AJ397" s="7">
        <v>1</v>
      </c>
    </row>
    <row r="398" spans="1:36" hidden="1" x14ac:dyDescent="0.3">
      <c r="A398" s="4" t="s">
        <v>36</v>
      </c>
      <c r="B398" s="4" t="s">
        <v>37</v>
      </c>
      <c r="C398" s="4" t="s">
        <v>875</v>
      </c>
      <c r="D398" s="4" t="s">
        <v>876</v>
      </c>
      <c r="E398" s="4" t="s">
        <v>46</v>
      </c>
      <c r="F398" s="4" t="s">
        <v>59</v>
      </c>
      <c r="G398" s="4" t="s">
        <v>60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1</v>
      </c>
      <c r="V398" s="5">
        <v>1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6" t="s">
        <v>53</v>
      </c>
      <c r="AJ398" s="7">
        <v>2</v>
      </c>
    </row>
    <row r="399" spans="1:36" hidden="1" x14ac:dyDescent="0.3">
      <c r="A399" s="4" t="s">
        <v>36</v>
      </c>
      <c r="B399" s="4" t="s">
        <v>37</v>
      </c>
      <c r="C399" s="4" t="s">
        <v>878</v>
      </c>
      <c r="D399" s="4" t="s">
        <v>879</v>
      </c>
      <c r="E399" s="4" t="s">
        <v>46</v>
      </c>
      <c r="F399" s="4" t="s">
        <v>59</v>
      </c>
      <c r="G399" s="4" t="s">
        <v>60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1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6" t="s">
        <v>53</v>
      </c>
      <c r="AJ399" s="7">
        <v>1</v>
      </c>
    </row>
    <row r="400" spans="1:36" hidden="1" x14ac:dyDescent="0.3">
      <c r="A400" s="4" t="s">
        <v>36</v>
      </c>
      <c r="B400" s="4" t="s">
        <v>37</v>
      </c>
      <c r="C400" s="4" t="s">
        <v>880</v>
      </c>
      <c r="D400" s="4" t="s">
        <v>881</v>
      </c>
      <c r="E400" s="4" t="s">
        <v>46</v>
      </c>
      <c r="F400" s="4" t="s">
        <v>472</v>
      </c>
      <c r="G400" s="4" t="s">
        <v>52</v>
      </c>
      <c r="H400" s="5">
        <v>1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1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6" t="s">
        <v>53</v>
      </c>
      <c r="AJ400" s="7">
        <v>2</v>
      </c>
    </row>
    <row r="401" spans="1:36" hidden="1" x14ac:dyDescent="0.3">
      <c r="A401" s="4" t="s">
        <v>36</v>
      </c>
      <c r="B401" s="4" t="s">
        <v>37</v>
      </c>
      <c r="C401" s="4" t="s">
        <v>882</v>
      </c>
      <c r="D401" s="4" t="s">
        <v>883</v>
      </c>
      <c r="E401" s="4" t="s">
        <v>46</v>
      </c>
      <c r="F401" s="4" t="s">
        <v>59</v>
      </c>
      <c r="G401" s="4" t="s">
        <v>60</v>
      </c>
      <c r="H401" s="5">
        <v>1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6" t="s">
        <v>53</v>
      </c>
      <c r="AJ401" s="7">
        <v>1</v>
      </c>
    </row>
    <row r="402" spans="1:36" hidden="1" x14ac:dyDescent="0.3">
      <c r="A402" s="4" t="s">
        <v>36</v>
      </c>
      <c r="B402" s="4" t="s">
        <v>37</v>
      </c>
      <c r="C402" s="4" t="s">
        <v>884</v>
      </c>
      <c r="D402" s="4" t="s">
        <v>885</v>
      </c>
      <c r="E402" s="4" t="s">
        <v>46</v>
      </c>
      <c r="F402" s="4" t="s">
        <v>59</v>
      </c>
      <c r="G402" s="4" t="s">
        <v>60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6" t="s">
        <v>53</v>
      </c>
      <c r="AJ402" s="7">
        <v>0</v>
      </c>
    </row>
    <row r="403" spans="1:36" hidden="1" x14ac:dyDescent="0.3">
      <c r="A403" s="4" t="s">
        <v>36</v>
      </c>
      <c r="B403" s="4" t="s">
        <v>37</v>
      </c>
      <c r="C403" s="4" t="s">
        <v>886</v>
      </c>
      <c r="D403" s="4" t="s">
        <v>887</v>
      </c>
      <c r="E403" s="4" t="s">
        <v>46</v>
      </c>
      <c r="F403" s="4" t="s">
        <v>59</v>
      </c>
      <c r="G403" s="4" t="s">
        <v>60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6" t="s">
        <v>53</v>
      </c>
      <c r="AJ403" s="7">
        <v>1</v>
      </c>
    </row>
    <row r="404" spans="1:36" hidden="1" x14ac:dyDescent="0.3">
      <c r="A404" s="4" t="s">
        <v>36</v>
      </c>
      <c r="B404" s="4" t="s">
        <v>37</v>
      </c>
      <c r="C404" s="4" t="s">
        <v>888</v>
      </c>
      <c r="D404" s="4" t="s">
        <v>889</v>
      </c>
      <c r="E404" s="4" t="s">
        <v>46</v>
      </c>
      <c r="F404" s="4" t="s">
        <v>83</v>
      </c>
      <c r="G404" s="4" t="s">
        <v>52</v>
      </c>
      <c r="H404" s="5">
        <v>1</v>
      </c>
      <c r="I404" s="5">
        <v>0</v>
      </c>
      <c r="J404" s="5">
        <v>1</v>
      </c>
      <c r="K404" s="5">
        <v>0</v>
      </c>
      <c r="L404" s="5">
        <v>0</v>
      </c>
      <c r="M404" s="5">
        <v>1</v>
      </c>
      <c r="N404" s="5">
        <v>1</v>
      </c>
      <c r="O404" s="5">
        <v>1</v>
      </c>
      <c r="P404" s="5">
        <v>0</v>
      </c>
      <c r="Q404" s="5">
        <v>1</v>
      </c>
      <c r="R404" s="5">
        <v>0</v>
      </c>
      <c r="S404" s="5">
        <v>0</v>
      </c>
      <c r="T404" s="5">
        <v>0</v>
      </c>
      <c r="U404" s="5">
        <v>1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1</v>
      </c>
      <c r="AF404" s="5">
        <v>0</v>
      </c>
      <c r="AG404" s="5">
        <v>0</v>
      </c>
      <c r="AH404" s="5">
        <v>1</v>
      </c>
      <c r="AI404" s="6" t="s">
        <v>43</v>
      </c>
      <c r="AJ404" s="7">
        <v>9</v>
      </c>
    </row>
    <row r="405" spans="1:36" hidden="1" x14ac:dyDescent="0.3">
      <c r="A405" s="4" t="s">
        <v>36</v>
      </c>
      <c r="B405" s="4" t="s">
        <v>37</v>
      </c>
      <c r="C405" s="4" t="s">
        <v>890</v>
      </c>
      <c r="D405" s="4" t="s">
        <v>891</v>
      </c>
      <c r="E405" s="4" t="s">
        <v>46</v>
      </c>
      <c r="F405" s="4" t="s">
        <v>59</v>
      </c>
      <c r="G405" s="4" t="s">
        <v>60</v>
      </c>
      <c r="H405" s="5">
        <v>1</v>
      </c>
      <c r="I405" s="5">
        <v>1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1</v>
      </c>
      <c r="AF405" s="5">
        <v>0</v>
      </c>
      <c r="AG405" s="5">
        <v>0</v>
      </c>
      <c r="AH405" s="5">
        <v>0</v>
      </c>
      <c r="AI405" s="6" t="s">
        <v>43</v>
      </c>
      <c r="AJ405" s="7">
        <v>3</v>
      </c>
    </row>
    <row r="406" spans="1:36" hidden="1" x14ac:dyDescent="0.3">
      <c r="A406" s="4" t="s">
        <v>36</v>
      </c>
      <c r="B406" s="4" t="s">
        <v>37</v>
      </c>
      <c r="C406" s="4" t="s">
        <v>892</v>
      </c>
      <c r="D406" s="4" t="s">
        <v>893</v>
      </c>
      <c r="E406" s="4" t="s">
        <v>46</v>
      </c>
      <c r="F406" s="4" t="s">
        <v>59</v>
      </c>
      <c r="G406" s="4" t="s">
        <v>60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1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6" t="s">
        <v>53</v>
      </c>
      <c r="AJ406" s="7">
        <v>2</v>
      </c>
    </row>
    <row r="407" spans="1:36" hidden="1" x14ac:dyDescent="0.3">
      <c r="A407" s="4" t="s">
        <v>36</v>
      </c>
      <c r="B407" s="4" t="s">
        <v>37</v>
      </c>
      <c r="C407" s="4" t="s">
        <v>894</v>
      </c>
      <c r="D407" s="4" t="s">
        <v>895</v>
      </c>
      <c r="E407" s="4" t="s">
        <v>46</v>
      </c>
      <c r="F407" s="4" t="s">
        <v>72</v>
      </c>
      <c r="G407" s="4" t="s">
        <v>52</v>
      </c>
      <c r="H407" s="5">
        <v>1</v>
      </c>
      <c r="I407" s="5">
        <v>1</v>
      </c>
      <c r="J407" s="5">
        <v>0</v>
      </c>
      <c r="K407" s="5">
        <v>1</v>
      </c>
      <c r="L407" s="5">
        <v>1</v>
      </c>
      <c r="M407" s="5">
        <v>0</v>
      </c>
      <c r="N407" s="5">
        <v>1</v>
      </c>
      <c r="O407" s="5">
        <v>1</v>
      </c>
      <c r="P407" s="5">
        <v>0</v>
      </c>
      <c r="Q407" s="5">
        <v>1</v>
      </c>
      <c r="R407" s="5">
        <v>0</v>
      </c>
      <c r="S407" s="5">
        <v>0</v>
      </c>
      <c r="T407" s="5">
        <v>0</v>
      </c>
      <c r="U407" s="5">
        <v>1</v>
      </c>
      <c r="V407" s="5">
        <v>0</v>
      </c>
      <c r="W407" s="5">
        <v>0</v>
      </c>
      <c r="X407" s="5">
        <v>1</v>
      </c>
      <c r="Y407" s="5">
        <v>0</v>
      </c>
      <c r="Z407" s="5">
        <v>1</v>
      </c>
      <c r="AA407" s="5">
        <v>0</v>
      </c>
      <c r="AB407" s="5">
        <v>1</v>
      </c>
      <c r="AC407" s="5">
        <v>0</v>
      </c>
      <c r="AD407" s="5">
        <v>0</v>
      </c>
      <c r="AE407" s="5">
        <v>1</v>
      </c>
      <c r="AF407" s="5">
        <v>0</v>
      </c>
      <c r="AG407" s="5">
        <v>0</v>
      </c>
      <c r="AH407" s="5">
        <v>1</v>
      </c>
      <c r="AI407" s="6" t="s">
        <v>43</v>
      </c>
      <c r="AJ407" s="7">
        <v>13</v>
      </c>
    </row>
    <row r="408" spans="1:36" hidden="1" x14ac:dyDescent="0.3">
      <c r="A408" s="4" t="s">
        <v>36</v>
      </c>
      <c r="B408" s="4" t="s">
        <v>37</v>
      </c>
      <c r="C408" s="4" t="s">
        <v>896</v>
      </c>
      <c r="D408" s="4" t="s">
        <v>897</v>
      </c>
      <c r="E408" s="4" t="s">
        <v>46</v>
      </c>
      <c r="F408" s="4" t="s">
        <v>168</v>
      </c>
      <c r="G408" s="4" t="s">
        <v>52</v>
      </c>
      <c r="H408" s="5">
        <v>1</v>
      </c>
      <c r="I408" s="5">
        <v>0</v>
      </c>
      <c r="J408" s="5">
        <v>0</v>
      </c>
      <c r="K408" s="5">
        <v>1</v>
      </c>
      <c r="L408" s="5">
        <v>1</v>
      </c>
      <c r="M408" s="5">
        <v>0</v>
      </c>
      <c r="N408" s="5">
        <v>0</v>
      </c>
      <c r="O408" s="5">
        <v>1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1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1</v>
      </c>
      <c r="AI408" s="6" t="s">
        <v>43</v>
      </c>
      <c r="AJ408" s="7">
        <v>6</v>
      </c>
    </row>
    <row r="409" spans="1:36" hidden="1" x14ac:dyDescent="0.3">
      <c r="A409" s="4" t="s">
        <v>36</v>
      </c>
      <c r="B409" s="4" t="s">
        <v>37</v>
      </c>
      <c r="C409" s="4" t="s">
        <v>898</v>
      </c>
      <c r="D409" s="4" t="s">
        <v>899</v>
      </c>
      <c r="E409" s="4" t="s">
        <v>46</v>
      </c>
      <c r="F409" s="4" t="s">
        <v>140</v>
      </c>
      <c r="G409" s="4" t="s">
        <v>42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1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6" t="s">
        <v>53</v>
      </c>
      <c r="AJ409" s="7">
        <v>1</v>
      </c>
    </row>
    <row r="410" spans="1:36" hidden="1" x14ac:dyDescent="0.3">
      <c r="A410" s="4" t="s">
        <v>36</v>
      </c>
      <c r="B410" s="4" t="s">
        <v>37</v>
      </c>
      <c r="C410" s="4" t="s">
        <v>900</v>
      </c>
      <c r="D410" s="4" t="s">
        <v>901</v>
      </c>
      <c r="E410" s="4" t="s">
        <v>46</v>
      </c>
      <c r="F410" s="4" t="s">
        <v>96</v>
      </c>
      <c r="G410" s="4" t="s">
        <v>64</v>
      </c>
      <c r="H410" s="5">
        <v>0</v>
      </c>
      <c r="I410" s="5">
        <v>1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1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6" t="s">
        <v>53</v>
      </c>
      <c r="AJ410" s="7">
        <v>2</v>
      </c>
    </row>
    <row r="411" spans="1:36" hidden="1" x14ac:dyDescent="0.3">
      <c r="A411" s="4" t="s">
        <v>36</v>
      </c>
      <c r="B411" s="4" t="s">
        <v>37</v>
      </c>
      <c r="C411" s="4" t="s">
        <v>902</v>
      </c>
      <c r="D411" s="4" t="s">
        <v>903</v>
      </c>
      <c r="E411" s="4" t="s">
        <v>46</v>
      </c>
      <c r="F411" s="4" t="s">
        <v>96</v>
      </c>
      <c r="G411" s="4" t="s">
        <v>64</v>
      </c>
      <c r="H411" s="5">
        <v>0</v>
      </c>
      <c r="I411" s="5">
        <v>0</v>
      </c>
      <c r="J411" s="5">
        <v>0</v>
      </c>
      <c r="K411" s="5">
        <v>1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1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6" t="s">
        <v>53</v>
      </c>
      <c r="AJ411" s="7">
        <v>2</v>
      </c>
    </row>
    <row r="412" spans="1:36" hidden="1" x14ac:dyDescent="0.3">
      <c r="A412" s="4" t="s">
        <v>36</v>
      </c>
      <c r="B412" s="4" t="s">
        <v>37</v>
      </c>
      <c r="C412" s="4" t="s">
        <v>904</v>
      </c>
      <c r="D412" s="4" t="s">
        <v>905</v>
      </c>
      <c r="E412" s="4" t="s">
        <v>46</v>
      </c>
      <c r="F412" s="4" t="s">
        <v>165</v>
      </c>
      <c r="G412" s="4" t="s">
        <v>64</v>
      </c>
      <c r="H412" s="5">
        <v>1</v>
      </c>
      <c r="I412" s="5">
        <v>1</v>
      </c>
      <c r="J412" s="5">
        <v>0</v>
      </c>
      <c r="K412" s="5">
        <v>0</v>
      </c>
      <c r="L412" s="5">
        <v>0</v>
      </c>
      <c r="M412" s="5">
        <v>0</v>
      </c>
      <c r="N412" s="5">
        <v>1</v>
      </c>
      <c r="O412" s="5">
        <v>0</v>
      </c>
      <c r="P412" s="5">
        <v>0</v>
      </c>
      <c r="Q412" s="5">
        <v>1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1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1</v>
      </c>
      <c r="AF412" s="5">
        <v>0</v>
      </c>
      <c r="AG412" s="5">
        <v>0</v>
      </c>
      <c r="AH412" s="5">
        <v>0</v>
      </c>
      <c r="AI412" s="6" t="s">
        <v>43</v>
      </c>
      <c r="AJ412" s="7">
        <v>6</v>
      </c>
    </row>
    <row r="413" spans="1:36" hidden="1" x14ac:dyDescent="0.3">
      <c r="A413" s="4" t="s">
        <v>36</v>
      </c>
      <c r="B413" s="4" t="s">
        <v>37</v>
      </c>
      <c r="C413" s="4" t="s">
        <v>906</v>
      </c>
      <c r="D413" s="4" t="s">
        <v>907</v>
      </c>
      <c r="E413" s="4" t="s">
        <v>46</v>
      </c>
      <c r="F413" s="4" t="s">
        <v>63</v>
      </c>
      <c r="G413" s="4" t="s">
        <v>64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1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1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6" t="s">
        <v>53</v>
      </c>
      <c r="AJ413" s="7">
        <v>2</v>
      </c>
    </row>
    <row r="414" spans="1:36" hidden="1" x14ac:dyDescent="0.3">
      <c r="A414" s="4" t="s">
        <v>36</v>
      </c>
      <c r="B414" s="4" t="s">
        <v>37</v>
      </c>
      <c r="C414" s="4" t="s">
        <v>908</v>
      </c>
      <c r="D414" s="4" t="s">
        <v>909</v>
      </c>
      <c r="E414" s="4" t="s">
        <v>46</v>
      </c>
      <c r="F414" s="4" t="s">
        <v>59</v>
      </c>
      <c r="G414" s="4" t="s">
        <v>60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6" t="s">
        <v>53</v>
      </c>
      <c r="AJ414" s="7">
        <v>0</v>
      </c>
    </row>
    <row r="415" spans="1:36" hidden="1" x14ac:dyDescent="0.3">
      <c r="A415" s="4" t="s">
        <v>36</v>
      </c>
      <c r="B415" s="4" t="s">
        <v>37</v>
      </c>
      <c r="C415" s="4" t="s">
        <v>910</v>
      </c>
      <c r="D415" s="4" t="s">
        <v>911</v>
      </c>
      <c r="E415" s="4" t="s">
        <v>214</v>
      </c>
      <c r="F415" s="4" t="s">
        <v>215</v>
      </c>
      <c r="G415" s="4" t="s">
        <v>42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1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6" t="s">
        <v>53</v>
      </c>
      <c r="AJ415" s="7">
        <v>1</v>
      </c>
    </row>
    <row r="416" spans="1:36" hidden="1" x14ac:dyDescent="0.3">
      <c r="A416" s="4" t="s">
        <v>36</v>
      </c>
      <c r="B416" s="4" t="s">
        <v>37</v>
      </c>
      <c r="C416" s="4" t="s">
        <v>912</v>
      </c>
      <c r="D416" s="4" t="s">
        <v>913</v>
      </c>
      <c r="E416" s="4" t="s">
        <v>46</v>
      </c>
      <c r="F416" s="4" t="s">
        <v>83</v>
      </c>
      <c r="G416" s="4" t="s">
        <v>52</v>
      </c>
      <c r="H416" s="5">
        <v>0</v>
      </c>
      <c r="I416" s="5">
        <v>1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6" t="s">
        <v>53</v>
      </c>
      <c r="AJ416" s="7">
        <v>1</v>
      </c>
    </row>
    <row r="417" spans="1:36" hidden="1" x14ac:dyDescent="0.3">
      <c r="A417" s="4" t="s">
        <v>36</v>
      </c>
      <c r="B417" s="4" t="s">
        <v>37</v>
      </c>
      <c r="C417" s="4" t="s">
        <v>914</v>
      </c>
      <c r="D417" s="4" t="s">
        <v>915</v>
      </c>
      <c r="E417" s="4" t="s">
        <v>46</v>
      </c>
      <c r="F417" s="4" t="s">
        <v>59</v>
      </c>
      <c r="G417" s="4" t="s">
        <v>60</v>
      </c>
      <c r="H417" s="5">
        <v>1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1</v>
      </c>
      <c r="W417" s="5">
        <v>1</v>
      </c>
      <c r="X417" s="5">
        <v>1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6" t="s">
        <v>53</v>
      </c>
      <c r="AJ417" s="7">
        <v>4</v>
      </c>
    </row>
    <row r="418" spans="1:36" hidden="1" x14ac:dyDescent="0.3">
      <c r="A418" s="4" t="s">
        <v>36</v>
      </c>
      <c r="B418" s="4" t="s">
        <v>37</v>
      </c>
      <c r="C418" s="4" t="s">
        <v>916</v>
      </c>
      <c r="D418" s="4" t="s">
        <v>917</v>
      </c>
      <c r="E418" s="4" t="s">
        <v>46</v>
      </c>
      <c r="F418" s="4" t="s">
        <v>59</v>
      </c>
      <c r="G418" s="4" t="s">
        <v>60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1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6" t="s">
        <v>53</v>
      </c>
      <c r="AJ418" s="7">
        <v>1</v>
      </c>
    </row>
    <row r="419" spans="1:36" hidden="1" x14ac:dyDescent="0.3">
      <c r="A419" s="4" t="s">
        <v>36</v>
      </c>
      <c r="B419" s="4" t="s">
        <v>37</v>
      </c>
      <c r="C419" s="4" t="s">
        <v>918</v>
      </c>
      <c r="D419" s="4" t="s">
        <v>919</v>
      </c>
      <c r="E419" s="4" t="s">
        <v>46</v>
      </c>
      <c r="F419" s="4" t="s">
        <v>80</v>
      </c>
      <c r="G419" s="4" t="s">
        <v>64</v>
      </c>
      <c r="H419" s="5">
        <v>1</v>
      </c>
      <c r="I419" s="5">
        <v>1</v>
      </c>
      <c r="J419" s="5">
        <v>0</v>
      </c>
      <c r="K419" s="5">
        <v>1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  <c r="Q419" s="5">
        <v>1</v>
      </c>
      <c r="R419" s="5">
        <v>1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1</v>
      </c>
      <c r="AB419" s="5">
        <v>1</v>
      </c>
      <c r="AC419" s="5">
        <v>1</v>
      </c>
      <c r="AD419" s="5">
        <v>1</v>
      </c>
      <c r="AE419" s="5">
        <v>0</v>
      </c>
      <c r="AF419" s="5">
        <v>0</v>
      </c>
      <c r="AG419" s="5">
        <v>0</v>
      </c>
      <c r="AH419" s="5">
        <v>0</v>
      </c>
      <c r="AI419" s="6" t="s">
        <v>43</v>
      </c>
      <c r="AJ419" s="7">
        <v>10</v>
      </c>
    </row>
    <row r="420" spans="1:36" hidden="1" x14ac:dyDescent="0.3">
      <c r="A420" s="4" t="s">
        <v>36</v>
      </c>
      <c r="B420" s="4" t="s">
        <v>37</v>
      </c>
      <c r="C420" s="4" t="s">
        <v>920</v>
      </c>
      <c r="D420" s="4" t="s">
        <v>921</v>
      </c>
      <c r="E420" s="4" t="s">
        <v>214</v>
      </c>
      <c r="F420" s="4" t="s">
        <v>215</v>
      </c>
      <c r="G420" s="4" t="s">
        <v>42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1</v>
      </c>
      <c r="T420" s="5">
        <v>0</v>
      </c>
      <c r="U420" s="5">
        <v>1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6" t="s">
        <v>53</v>
      </c>
      <c r="AJ420" s="7">
        <v>2</v>
      </c>
    </row>
    <row r="421" spans="1:36" hidden="1" x14ac:dyDescent="0.3">
      <c r="A421" s="4" t="s">
        <v>36</v>
      </c>
      <c r="B421" s="4" t="s">
        <v>37</v>
      </c>
      <c r="C421" s="4" t="s">
        <v>922</v>
      </c>
      <c r="D421" s="4" t="s">
        <v>923</v>
      </c>
      <c r="E421" s="4" t="s">
        <v>46</v>
      </c>
      <c r="F421" s="4" t="s">
        <v>77</v>
      </c>
      <c r="G421" s="4" t="s">
        <v>52</v>
      </c>
      <c r="H421" s="5">
        <v>0</v>
      </c>
      <c r="I421" s="5">
        <v>0</v>
      </c>
      <c r="J421" s="5">
        <v>0</v>
      </c>
      <c r="K421" s="5">
        <v>0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6" t="s">
        <v>53</v>
      </c>
      <c r="AJ421" s="7">
        <v>1</v>
      </c>
    </row>
    <row r="422" spans="1:36" hidden="1" x14ac:dyDescent="0.3">
      <c r="A422" s="4" t="s">
        <v>36</v>
      </c>
      <c r="B422" s="4" t="s">
        <v>37</v>
      </c>
      <c r="C422" s="4" t="s">
        <v>924</v>
      </c>
      <c r="D422" s="4" t="s">
        <v>925</v>
      </c>
      <c r="E422" s="4" t="s">
        <v>46</v>
      </c>
      <c r="F422" s="4" t="s">
        <v>93</v>
      </c>
      <c r="G422" s="4" t="s">
        <v>42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6" t="s">
        <v>53</v>
      </c>
      <c r="AJ422" s="7">
        <v>1</v>
      </c>
    </row>
    <row r="423" spans="1:36" hidden="1" x14ac:dyDescent="0.3">
      <c r="A423" s="4" t="s">
        <v>36</v>
      </c>
      <c r="B423" s="4" t="s">
        <v>37</v>
      </c>
      <c r="C423" s="4" t="s">
        <v>926</v>
      </c>
      <c r="D423" s="4" t="s">
        <v>927</v>
      </c>
      <c r="E423" s="4" t="s">
        <v>46</v>
      </c>
      <c r="F423" s="4" t="s">
        <v>59</v>
      </c>
      <c r="G423" s="4" t="s">
        <v>60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1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6" t="s">
        <v>53</v>
      </c>
      <c r="AJ423" s="7">
        <v>1</v>
      </c>
    </row>
    <row r="424" spans="1:36" hidden="1" x14ac:dyDescent="0.3">
      <c r="A424" s="4" t="s">
        <v>36</v>
      </c>
      <c r="B424" s="4" t="s">
        <v>37</v>
      </c>
      <c r="C424" s="4" t="s">
        <v>928</v>
      </c>
      <c r="D424" s="4" t="s">
        <v>929</v>
      </c>
      <c r="E424" s="4" t="s">
        <v>46</v>
      </c>
      <c r="F424" s="4" t="s">
        <v>96</v>
      </c>
      <c r="G424" s="4" t="s">
        <v>64</v>
      </c>
      <c r="H424" s="5">
        <v>0</v>
      </c>
      <c r="I424" s="5">
        <v>0</v>
      </c>
      <c r="J424" s="5">
        <v>0</v>
      </c>
      <c r="K424" s="5">
        <v>0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1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6" t="s">
        <v>53</v>
      </c>
      <c r="AJ424" s="7">
        <v>2</v>
      </c>
    </row>
    <row r="425" spans="1:36" hidden="1" x14ac:dyDescent="0.3">
      <c r="A425" s="4" t="s">
        <v>36</v>
      </c>
      <c r="B425" s="4" t="s">
        <v>37</v>
      </c>
      <c r="C425" s="4" t="s">
        <v>930</v>
      </c>
      <c r="D425" s="4" t="s">
        <v>931</v>
      </c>
      <c r="E425" s="4" t="s">
        <v>46</v>
      </c>
      <c r="F425" s="4" t="s">
        <v>140</v>
      </c>
      <c r="G425" s="4" t="s">
        <v>42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1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6" t="s">
        <v>43</v>
      </c>
      <c r="AJ425" s="7">
        <v>1</v>
      </c>
    </row>
    <row r="426" spans="1:36" hidden="1" x14ac:dyDescent="0.3">
      <c r="A426" s="4" t="s">
        <v>36</v>
      </c>
      <c r="B426" s="4" t="s">
        <v>37</v>
      </c>
      <c r="C426" s="4" t="s">
        <v>932</v>
      </c>
      <c r="D426" s="4" t="s">
        <v>933</v>
      </c>
      <c r="E426" s="4" t="s">
        <v>46</v>
      </c>
      <c r="F426" s="4" t="s">
        <v>215</v>
      </c>
      <c r="G426" s="4" t="s">
        <v>42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1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6" t="s">
        <v>43</v>
      </c>
      <c r="AJ426" s="7">
        <v>2</v>
      </c>
    </row>
    <row r="427" spans="1:36" hidden="1" x14ac:dyDescent="0.3">
      <c r="A427" s="4" t="s">
        <v>36</v>
      </c>
      <c r="B427" s="4" t="s">
        <v>37</v>
      </c>
      <c r="C427" s="4" t="s">
        <v>934</v>
      </c>
      <c r="D427" s="4" t="s">
        <v>935</v>
      </c>
      <c r="E427" s="4" t="s">
        <v>46</v>
      </c>
      <c r="F427" s="4" t="s">
        <v>63</v>
      </c>
      <c r="G427" s="4" t="s">
        <v>64</v>
      </c>
      <c r="H427" s="5">
        <v>1</v>
      </c>
      <c r="I427" s="5">
        <v>0</v>
      </c>
      <c r="J427" s="5">
        <v>0</v>
      </c>
      <c r="K427" s="5">
        <v>1</v>
      </c>
      <c r="L427" s="5">
        <v>1</v>
      </c>
      <c r="M427" s="5">
        <v>0</v>
      </c>
      <c r="N427" s="5">
        <v>1</v>
      </c>
      <c r="O427" s="5">
        <v>1</v>
      </c>
      <c r="P427" s="5">
        <v>0</v>
      </c>
      <c r="Q427" s="5">
        <v>1</v>
      </c>
      <c r="R427" s="5">
        <v>0</v>
      </c>
      <c r="S427" s="5">
        <v>0</v>
      </c>
      <c r="T427" s="5">
        <v>1</v>
      </c>
      <c r="U427" s="5">
        <v>1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1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1</v>
      </c>
      <c r="AI427" s="6" t="s">
        <v>43</v>
      </c>
      <c r="AJ427" s="7">
        <v>10</v>
      </c>
    </row>
    <row r="428" spans="1:36" hidden="1" x14ac:dyDescent="0.3">
      <c r="A428" s="4" t="s">
        <v>36</v>
      </c>
      <c r="B428" s="4" t="s">
        <v>37</v>
      </c>
      <c r="C428" s="4" t="s">
        <v>936</v>
      </c>
      <c r="D428" s="4" t="s">
        <v>937</v>
      </c>
      <c r="E428" s="4" t="s">
        <v>46</v>
      </c>
      <c r="F428" s="4" t="s">
        <v>168</v>
      </c>
      <c r="G428" s="4" t="s">
        <v>52</v>
      </c>
      <c r="H428" s="5">
        <v>1</v>
      </c>
      <c r="I428" s="5">
        <v>1</v>
      </c>
      <c r="J428" s="5">
        <v>0</v>
      </c>
      <c r="K428" s="5">
        <v>1</v>
      </c>
      <c r="L428" s="5">
        <v>1</v>
      </c>
      <c r="M428" s="5">
        <v>0</v>
      </c>
      <c r="N428" s="5">
        <v>0</v>
      </c>
      <c r="O428" s="5">
        <v>1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1</v>
      </c>
      <c r="AD428" s="5">
        <v>0</v>
      </c>
      <c r="AE428" s="5">
        <v>1</v>
      </c>
      <c r="AF428" s="5">
        <v>0</v>
      </c>
      <c r="AG428" s="5">
        <v>0</v>
      </c>
      <c r="AH428" s="5">
        <v>1</v>
      </c>
      <c r="AI428" s="6" t="s">
        <v>43</v>
      </c>
      <c r="AJ428" s="7">
        <v>8</v>
      </c>
    </row>
    <row r="429" spans="1:36" hidden="1" x14ac:dyDescent="0.3">
      <c r="A429" s="4" t="s">
        <v>36</v>
      </c>
      <c r="B429" s="4" t="s">
        <v>37</v>
      </c>
      <c r="C429" s="4" t="s">
        <v>938</v>
      </c>
      <c r="D429" s="4" t="s">
        <v>939</v>
      </c>
      <c r="E429" s="4" t="s">
        <v>46</v>
      </c>
      <c r="F429" s="4" t="s">
        <v>96</v>
      </c>
      <c r="G429" s="4" t="s">
        <v>64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1</v>
      </c>
      <c r="O429" s="5">
        <v>0</v>
      </c>
      <c r="P429" s="5">
        <v>0</v>
      </c>
      <c r="Q429" s="5">
        <v>1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6" t="s">
        <v>53</v>
      </c>
      <c r="AJ429" s="7">
        <v>3</v>
      </c>
    </row>
    <row r="430" spans="1:36" hidden="1" x14ac:dyDescent="0.3">
      <c r="A430" s="4" t="s">
        <v>36</v>
      </c>
      <c r="B430" s="4" t="s">
        <v>37</v>
      </c>
      <c r="C430" s="4" t="s">
        <v>940</v>
      </c>
      <c r="D430" s="4" t="s">
        <v>941</v>
      </c>
      <c r="E430" s="4" t="s">
        <v>46</v>
      </c>
      <c r="F430" s="4" t="s">
        <v>168</v>
      </c>
      <c r="G430" s="4" t="s">
        <v>52</v>
      </c>
      <c r="H430" s="5">
        <v>1</v>
      </c>
      <c r="I430" s="5">
        <v>0</v>
      </c>
      <c r="J430" s="5">
        <v>0</v>
      </c>
      <c r="K430" s="5">
        <v>1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1</v>
      </c>
      <c r="AF430" s="5">
        <v>0</v>
      </c>
      <c r="AG430" s="5">
        <v>0</v>
      </c>
      <c r="AH430" s="5">
        <v>0</v>
      </c>
      <c r="AI430" s="6" t="s">
        <v>43</v>
      </c>
      <c r="AJ430" s="7">
        <v>3</v>
      </c>
    </row>
    <row r="431" spans="1:36" hidden="1" x14ac:dyDescent="0.3">
      <c r="A431" s="4" t="s">
        <v>36</v>
      </c>
      <c r="B431" s="4" t="s">
        <v>37</v>
      </c>
      <c r="C431" s="4" t="s">
        <v>942</v>
      </c>
      <c r="D431" s="4" t="s">
        <v>943</v>
      </c>
      <c r="E431" s="4" t="s">
        <v>46</v>
      </c>
      <c r="F431" s="4" t="s">
        <v>59</v>
      </c>
      <c r="G431" s="4" t="s">
        <v>60</v>
      </c>
      <c r="H431" s="5">
        <v>1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6" t="s">
        <v>53</v>
      </c>
      <c r="AJ431" s="7">
        <v>1</v>
      </c>
    </row>
    <row r="432" spans="1:36" hidden="1" x14ac:dyDescent="0.3">
      <c r="A432" s="4" t="s">
        <v>36</v>
      </c>
      <c r="B432" s="4" t="s">
        <v>37</v>
      </c>
      <c r="C432" s="4" t="s">
        <v>944</v>
      </c>
      <c r="D432" s="4" t="s">
        <v>945</v>
      </c>
      <c r="E432" s="4" t="s">
        <v>46</v>
      </c>
      <c r="F432" s="4" t="s">
        <v>168</v>
      </c>
      <c r="G432" s="4" t="s">
        <v>52</v>
      </c>
      <c r="H432" s="5">
        <v>0</v>
      </c>
      <c r="I432" s="5">
        <v>0</v>
      </c>
      <c r="J432" s="5">
        <v>0</v>
      </c>
      <c r="K432" s="5">
        <v>1</v>
      </c>
      <c r="L432" s="5">
        <v>0</v>
      </c>
      <c r="M432" s="5">
        <v>1</v>
      </c>
      <c r="N432" s="5">
        <v>0</v>
      </c>
      <c r="O432" s="5">
        <v>1</v>
      </c>
      <c r="P432" s="5">
        <v>0</v>
      </c>
      <c r="Q432" s="5">
        <v>1</v>
      </c>
      <c r="R432" s="5">
        <v>0</v>
      </c>
      <c r="S432" s="5">
        <v>0</v>
      </c>
      <c r="T432" s="5">
        <v>1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1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6" t="s">
        <v>43</v>
      </c>
      <c r="AJ432" s="7">
        <v>6</v>
      </c>
    </row>
    <row r="433" spans="1:36" hidden="1" x14ac:dyDescent="0.3">
      <c r="A433" s="4" t="s">
        <v>36</v>
      </c>
      <c r="B433" s="4" t="s">
        <v>37</v>
      </c>
      <c r="C433" s="4" t="s">
        <v>946</v>
      </c>
      <c r="D433" s="4" t="s">
        <v>947</v>
      </c>
      <c r="E433" s="4" t="s">
        <v>46</v>
      </c>
      <c r="F433" s="4" t="s">
        <v>63</v>
      </c>
      <c r="G433" s="4" t="s">
        <v>64</v>
      </c>
      <c r="H433" s="5">
        <v>0</v>
      </c>
      <c r="I433" s="5">
        <v>1</v>
      </c>
      <c r="J433" s="5">
        <v>0</v>
      </c>
      <c r="K433" s="5">
        <v>0</v>
      </c>
      <c r="L433" s="5">
        <v>0</v>
      </c>
      <c r="M433" s="5">
        <v>0</v>
      </c>
      <c r="N433" s="5">
        <v>1</v>
      </c>
      <c r="O433" s="5">
        <v>0</v>
      </c>
      <c r="P433" s="5">
        <v>0</v>
      </c>
      <c r="Q433" s="5">
        <v>1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6" t="s">
        <v>43</v>
      </c>
      <c r="AJ433" s="7">
        <v>3</v>
      </c>
    </row>
    <row r="434" spans="1:36" hidden="1" x14ac:dyDescent="0.3">
      <c r="A434" s="4" t="s">
        <v>36</v>
      </c>
      <c r="B434" s="4" t="s">
        <v>37</v>
      </c>
      <c r="C434" s="4" t="s">
        <v>948</v>
      </c>
      <c r="D434" s="4" t="s">
        <v>949</v>
      </c>
      <c r="E434" s="4" t="s">
        <v>46</v>
      </c>
      <c r="F434" s="4" t="s">
        <v>93</v>
      </c>
      <c r="G434" s="4" t="s">
        <v>42</v>
      </c>
      <c r="H434" s="5">
        <v>1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5">
        <v>1</v>
      </c>
      <c r="O434" s="5">
        <v>1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1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6" t="s">
        <v>43</v>
      </c>
      <c r="AJ434" s="7">
        <v>5</v>
      </c>
    </row>
    <row r="435" spans="1:36" hidden="1" x14ac:dyDescent="0.3">
      <c r="A435" s="4" t="s">
        <v>36</v>
      </c>
      <c r="B435" s="4" t="s">
        <v>37</v>
      </c>
      <c r="C435" s="4" t="s">
        <v>950</v>
      </c>
      <c r="D435" s="4" t="s">
        <v>951</v>
      </c>
      <c r="E435" s="4" t="s">
        <v>46</v>
      </c>
      <c r="F435" s="4" t="s">
        <v>72</v>
      </c>
      <c r="G435" s="4" t="s">
        <v>52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1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6" t="s">
        <v>53</v>
      </c>
      <c r="AJ435" s="7">
        <v>1</v>
      </c>
    </row>
    <row r="436" spans="1:36" hidden="1" x14ac:dyDescent="0.3">
      <c r="A436" s="4" t="s">
        <v>36</v>
      </c>
      <c r="B436" s="4" t="s">
        <v>37</v>
      </c>
      <c r="C436" s="4" t="s">
        <v>952</v>
      </c>
      <c r="D436" s="4" t="s">
        <v>953</v>
      </c>
      <c r="E436" s="4" t="s">
        <v>46</v>
      </c>
      <c r="F436" s="4" t="s">
        <v>93</v>
      </c>
      <c r="G436" s="4" t="s">
        <v>42</v>
      </c>
      <c r="H436" s="5">
        <v>1</v>
      </c>
      <c r="I436" s="5">
        <v>0</v>
      </c>
      <c r="J436" s="5">
        <v>0</v>
      </c>
      <c r="K436" s="5">
        <v>0</v>
      </c>
      <c r="L436" s="5">
        <v>1</v>
      </c>
      <c r="M436" s="5">
        <v>0</v>
      </c>
      <c r="N436" s="5">
        <v>1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1</v>
      </c>
      <c r="AH436" s="5">
        <v>0</v>
      </c>
      <c r="AI436" s="6" t="s">
        <v>43</v>
      </c>
      <c r="AJ436" s="7">
        <v>4</v>
      </c>
    </row>
    <row r="437" spans="1:36" hidden="1" x14ac:dyDescent="0.3">
      <c r="A437" s="4" t="s">
        <v>36</v>
      </c>
      <c r="B437" s="4" t="s">
        <v>37</v>
      </c>
      <c r="C437" s="4" t="s">
        <v>954</v>
      </c>
      <c r="D437" s="4" t="s">
        <v>955</v>
      </c>
      <c r="E437" s="4" t="s">
        <v>46</v>
      </c>
      <c r="F437" s="4" t="s">
        <v>59</v>
      </c>
      <c r="G437" s="4" t="s">
        <v>60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6" t="s">
        <v>53</v>
      </c>
      <c r="AJ437" s="7">
        <v>0</v>
      </c>
    </row>
    <row r="438" spans="1:36" hidden="1" x14ac:dyDescent="0.3">
      <c r="A438" s="4" t="s">
        <v>36</v>
      </c>
      <c r="B438" s="4" t="s">
        <v>37</v>
      </c>
      <c r="C438" s="4" t="s">
        <v>956</v>
      </c>
      <c r="D438" s="4" t="s">
        <v>957</v>
      </c>
      <c r="E438" s="4" t="s">
        <v>46</v>
      </c>
      <c r="F438" s="4" t="s">
        <v>80</v>
      </c>
      <c r="G438" s="4" t="s">
        <v>64</v>
      </c>
      <c r="H438" s="5">
        <v>1</v>
      </c>
      <c r="I438" s="5">
        <v>1</v>
      </c>
      <c r="J438" s="5">
        <v>1</v>
      </c>
      <c r="K438" s="5">
        <v>0</v>
      </c>
      <c r="L438" s="5">
        <v>0</v>
      </c>
      <c r="M438" s="5">
        <v>1</v>
      </c>
      <c r="N438" s="5">
        <v>1</v>
      </c>
      <c r="O438" s="5">
        <v>0</v>
      </c>
      <c r="P438" s="5">
        <v>0</v>
      </c>
      <c r="Q438" s="5">
        <v>1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1</v>
      </c>
      <c r="AF438" s="5">
        <v>0</v>
      </c>
      <c r="AG438" s="5">
        <v>0</v>
      </c>
      <c r="AH438" s="5">
        <v>0</v>
      </c>
      <c r="AI438" s="6" t="s">
        <v>43</v>
      </c>
      <c r="AJ438" s="7">
        <v>7</v>
      </c>
    </row>
    <row r="439" spans="1:36" hidden="1" x14ac:dyDescent="0.3">
      <c r="A439" s="4" t="s">
        <v>36</v>
      </c>
      <c r="B439" s="4" t="s">
        <v>37</v>
      </c>
      <c r="C439" s="4" t="s">
        <v>958</v>
      </c>
      <c r="D439" s="4" t="s">
        <v>959</v>
      </c>
      <c r="E439" s="4" t="s">
        <v>46</v>
      </c>
      <c r="F439" s="4" t="s">
        <v>59</v>
      </c>
      <c r="G439" s="4" t="s">
        <v>60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6" t="s">
        <v>53</v>
      </c>
      <c r="AJ439" s="7">
        <v>0</v>
      </c>
    </row>
    <row r="440" spans="1:36" hidden="1" x14ac:dyDescent="0.3">
      <c r="A440" s="4" t="s">
        <v>36</v>
      </c>
      <c r="B440" s="4" t="s">
        <v>37</v>
      </c>
      <c r="C440" s="4" t="s">
        <v>960</v>
      </c>
      <c r="D440" s="4" t="s">
        <v>961</v>
      </c>
      <c r="E440" s="4" t="s">
        <v>46</v>
      </c>
      <c r="F440" s="4" t="s">
        <v>80</v>
      </c>
      <c r="G440" s="4" t="s">
        <v>64</v>
      </c>
      <c r="H440" s="5">
        <v>1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1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1</v>
      </c>
      <c r="AF440" s="5">
        <v>0</v>
      </c>
      <c r="AG440" s="5">
        <v>0</v>
      </c>
      <c r="AH440" s="5">
        <v>0</v>
      </c>
      <c r="AI440" s="6" t="s">
        <v>43</v>
      </c>
      <c r="AJ440" s="7">
        <v>3</v>
      </c>
    </row>
    <row r="441" spans="1:36" hidden="1" x14ac:dyDescent="0.3">
      <c r="A441" s="4" t="s">
        <v>36</v>
      </c>
      <c r="B441" s="4" t="s">
        <v>37</v>
      </c>
      <c r="C441" s="4" t="s">
        <v>962</v>
      </c>
      <c r="D441" s="4" t="s">
        <v>963</v>
      </c>
      <c r="E441" s="4" t="s">
        <v>40</v>
      </c>
      <c r="F441" s="4" t="s">
        <v>168</v>
      </c>
      <c r="G441" s="4" t="s">
        <v>52</v>
      </c>
      <c r="H441" s="5">
        <v>1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1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6" t="s">
        <v>53</v>
      </c>
      <c r="AJ441" s="7">
        <v>2</v>
      </c>
    </row>
    <row r="442" spans="1:36" hidden="1" x14ac:dyDescent="0.3">
      <c r="A442" s="4" t="s">
        <v>36</v>
      </c>
      <c r="B442" s="4" t="s">
        <v>37</v>
      </c>
      <c r="C442" s="4" t="s">
        <v>964</v>
      </c>
      <c r="D442" s="4" t="s">
        <v>965</v>
      </c>
      <c r="E442" s="4" t="s">
        <v>46</v>
      </c>
      <c r="F442" s="4" t="s">
        <v>59</v>
      </c>
      <c r="G442" s="4" t="s">
        <v>60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1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1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6" t="s">
        <v>53</v>
      </c>
      <c r="AJ442" s="7">
        <v>2</v>
      </c>
    </row>
    <row r="443" spans="1:36" hidden="1" x14ac:dyDescent="0.3">
      <c r="A443" s="4" t="s">
        <v>36</v>
      </c>
      <c r="B443" s="4" t="s">
        <v>37</v>
      </c>
      <c r="C443" s="4" t="s">
        <v>966</v>
      </c>
      <c r="D443" s="4" t="s">
        <v>967</v>
      </c>
      <c r="E443" s="4" t="s">
        <v>46</v>
      </c>
      <c r="F443" s="4" t="s">
        <v>59</v>
      </c>
      <c r="G443" s="4" t="s">
        <v>60</v>
      </c>
      <c r="H443" s="5">
        <v>0</v>
      </c>
      <c r="I443" s="5">
        <v>0</v>
      </c>
      <c r="J443" s="5">
        <v>0</v>
      </c>
      <c r="K443" s="5">
        <v>0</v>
      </c>
      <c r="L443" s="5">
        <v>1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6" t="s">
        <v>53</v>
      </c>
      <c r="AJ443" s="7">
        <v>1</v>
      </c>
    </row>
    <row r="444" spans="1:36" hidden="1" x14ac:dyDescent="0.3">
      <c r="A444" s="4" t="s">
        <v>36</v>
      </c>
      <c r="B444" s="4" t="s">
        <v>37</v>
      </c>
      <c r="C444" s="4" t="s">
        <v>968</v>
      </c>
      <c r="D444" s="4" t="s">
        <v>969</v>
      </c>
      <c r="E444" s="4" t="s">
        <v>46</v>
      </c>
      <c r="F444" s="4" t="s">
        <v>72</v>
      </c>
      <c r="G444" s="4" t="s">
        <v>52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1</v>
      </c>
      <c r="P444" s="5">
        <v>0</v>
      </c>
      <c r="Q444" s="5">
        <v>1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6" t="s">
        <v>53</v>
      </c>
      <c r="AJ444" s="7">
        <v>2</v>
      </c>
    </row>
    <row r="445" spans="1:36" hidden="1" x14ac:dyDescent="0.3">
      <c r="A445" s="4" t="s">
        <v>36</v>
      </c>
      <c r="B445" s="4" t="s">
        <v>37</v>
      </c>
      <c r="C445" s="4" t="s">
        <v>970</v>
      </c>
      <c r="D445" s="4" t="s">
        <v>971</v>
      </c>
      <c r="E445" s="4" t="s">
        <v>46</v>
      </c>
      <c r="F445" s="4" t="s">
        <v>59</v>
      </c>
      <c r="G445" s="4" t="s">
        <v>60</v>
      </c>
      <c r="H445" s="5">
        <v>1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6" t="s">
        <v>53</v>
      </c>
      <c r="AJ445" s="7">
        <v>2</v>
      </c>
    </row>
    <row r="446" spans="1:36" hidden="1" x14ac:dyDescent="0.3">
      <c r="A446" s="4" t="s">
        <v>36</v>
      </c>
      <c r="B446" s="4" t="s">
        <v>37</v>
      </c>
      <c r="C446" s="4" t="s">
        <v>972</v>
      </c>
      <c r="D446" s="4" t="s">
        <v>973</v>
      </c>
      <c r="E446" s="4" t="s">
        <v>46</v>
      </c>
      <c r="F446" s="4" t="s">
        <v>93</v>
      </c>
      <c r="G446" s="4" t="s">
        <v>42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1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6" t="s">
        <v>53</v>
      </c>
      <c r="AJ446" s="7">
        <v>1</v>
      </c>
    </row>
    <row r="447" spans="1:36" hidden="1" x14ac:dyDescent="0.3">
      <c r="A447" s="4" t="s">
        <v>36</v>
      </c>
      <c r="B447" s="4" t="s">
        <v>37</v>
      </c>
      <c r="C447" s="4" t="s">
        <v>974</v>
      </c>
      <c r="D447" s="4" t="s">
        <v>975</v>
      </c>
      <c r="E447" s="4" t="s">
        <v>214</v>
      </c>
      <c r="F447" s="4" t="s">
        <v>215</v>
      </c>
      <c r="G447" s="4" t="s">
        <v>42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1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6" t="s">
        <v>53</v>
      </c>
      <c r="AJ447" s="7">
        <v>1</v>
      </c>
    </row>
    <row r="448" spans="1:36" hidden="1" x14ac:dyDescent="0.3">
      <c r="A448" s="4" t="s">
        <v>36</v>
      </c>
      <c r="B448" s="4" t="s">
        <v>37</v>
      </c>
      <c r="C448" s="4" t="s">
        <v>976</v>
      </c>
      <c r="D448" s="4" t="s">
        <v>977</v>
      </c>
      <c r="E448" s="4" t="s">
        <v>46</v>
      </c>
      <c r="F448" s="4" t="s">
        <v>140</v>
      </c>
      <c r="G448" s="4" t="s">
        <v>42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1</v>
      </c>
      <c r="W448" s="5">
        <v>0</v>
      </c>
      <c r="X448" s="5">
        <v>0</v>
      </c>
      <c r="Y448" s="5">
        <v>0</v>
      </c>
      <c r="Z448" s="5">
        <v>1</v>
      </c>
      <c r="AA448" s="5">
        <v>0</v>
      </c>
      <c r="AB448" s="5">
        <v>0</v>
      </c>
      <c r="AC448" s="5">
        <v>0</v>
      </c>
      <c r="AD448" s="5">
        <v>0</v>
      </c>
      <c r="AE448" s="5">
        <v>1</v>
      </c>
      <c r="AF448" s="5">
        <v>0</v>
      </c>
      <c r="AG448" s="5">
        <v>0</v>
      </c>
      <c r="AH448" s="5">
        <v>0</v>
      </c>
      <c r="AI448" s="6" t="s">
        <v>53</v>
      </c>
      <c r="AJ448" s="7">
        <v>3</v>
      </c>
    </row>
    <row r="449" spans="1:36" hidden="1" x14ac:dyDescent="0.3">
      <c r="A449" s="4" t="s">
        <v>36</v>
      </c>
      <c r="B449" s="4" t="s">
        <v>37</v>
      </c>
      <c r="C449" s="4" t="s">
        <v>978</v>
      </c>
      <c r="D449" s="4" t="s">
        <v>979</v>
      </c>
      <c r="E449" s="4" t="s">
        <v>46</v>
      </c>
      <c r="F449" s="4" t="s">
        <v>59</v>
      </c>
      <c r="G449" s="4" t="s">
        <v>60</v>
      </c>
      <c r="H449" s="5">
        <v>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1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6" t="s">
        <v>53</v>
      </c>
      <c r="AJ449" s="7">
        <v>2</v>
      </c>
    </row>
    <row r="450" spans="1:36" hidden="1" x14ac:dyDescent="0.3">
      <c r="A450" s="4" t="s">
        <v>36</v>
      </c>
      <c r="B450" s="4" t="s">
        <v>37</v>
      </c>
      <c r="C450" s="4" t="s">
        <v>980</v>
      </c>
      <c r="D450" s="4" t="s">
        <v>981</v>
      </c>
      <c r="E450" s="4" t="s">
        <v>46</v>
      </c>
      <c r="F450" s="4" t="s">
        <v>63</v>
      </c>
      <c r="G450" s="4" t="s">
        <v>64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1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6" t="s">
        <v>53</v>
      </c>
      <c r="AJ450" s="7">
        <v>1</v>
      </c>
    </row>
    <row r="451" spans="1:36" hidden="1" x14ac:dyDescent="0.3">
      <c r="A451" s="4" t="s">
        <v>36</v>
      </c>
      <c r="B451" s="4" t="s">
        <v>37</v>
      </c>
      <c r="C451" s="4" t="s">
        <v>982</v>
      </c>
      <c r="D451" s="4" t="s">
        <v>983</v>
      </c>
      <c r="E451" s="4" t="s">
        <v>46</v>
      </c>
      <c r="F451" s="4" t="s">
        <v>59</v>
      </c>
      <c r="G451" s="4" t="s">
        <v>60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6" t="s">
        <v>53</v>
      </c>
      <c r="AJ451" s="7">
        <v>0</v>
      </c>
    </row>
    <row r="452" spans="1:36" hidden="1" x14ac:dyDescent="0.3">
      <c r="A452" s="4" t="s">
        <v>36</v>
      </c>
      <c r="B452" s="4" t="s">
        <v>37</v>
      </c>
      <c r="C452" s="4" t="s">
        <v>984</v>
      </c>
      <c r="D452" s="4" t="s">
        <v>985</v>
      </c>
      <c r="E452" s="4" t="s">
        <v>46</v>
      </c>
      <c r="F452" s="4" t="s">
        <v>63</v>
      </c>
      <c r="G452" s="4" t="s">
        <v>64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6" t="s">
        <v>53</v>
      </c>
      <c r="AJ452" s="7">
        <v>0</v>
      </c>
    </row>
    <row r="453" spans="1:36" hidden="1" x14ac:dyDescent="0.3">
      <c r="A453" s="4" t="s">
        <v>36</v>
      </c>
      <c r="B453" s="4" t="s">
        <v>37</v>
      </c>
      <c r="C453" s="4" t="s">
        <v>986</v>
      </c>
      <c r="D453" s="4" t="s">
        <v>987</v>
      </c>
      <c r="E453" s="4" t="s">
        <v>46</v>
      </c>
      <c r="F453" s="4" t="s">
        <v>72</v>
      </c>
      <c r="G453" s="4" t="s">
        <v>52</v>
      </c>
      <c r="H453" s="5">
        <v>1</v>
      </c>
      <c r="I453" s="5">
        <v>1</v>
      </c>
      <c r="J453" s="5">
        <v>0</v>
      </c>
      <c r="K453" s="5">
        <v>0</v>
      </c>
      <c r="L453" s="5">
        <v>1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6" t="s">
        <v>53</v>
      </c>
      <c r="AJ453" s="7">
        <v>3</v>
      </c>
    </row>
    <row r="454" spans="1:36" hidden="1" x14ac:dyDescent="0.3">
      <c r="A454" s="4" t="s">
        <v>36</v>
      </c>
      <c r="B454" s="4" t="s">
        <v>37</v>
      </c>
      <c r="C454" s="4" t="s">
        <v>988</v>
      </c>
      <c r="D454" s="4" t="s">
        <v>989</v>
      </c>
      <c r="E454" s="4" t="s">
        <v>46</v>
      </c>
      <c r="F454" s="4" t="s">
        <v>59</v>
      </c>
      <c r="G454" s="4" t="s">
        <v>60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1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6" t="s">
        <v>53</v>
      </c>
      <c r="AJ454" s="7">
        <v>1</v>
      </c>
    </row>
    <row r="455" spans="1:36" hidden="1" x14ac:dyDescent="0.3">
      <c r="A455" s="4" t="s">
        <v>36</v>
      </c>
      <c r="B455" s="4" t="s">
        <v>37</v>
      </c>
      <c r="C455" s="4" t="s">
        <v>990</v>
      </c>
      <c r="D455" s="4" t="s">
        <v>991</v>
      </c>
      <c r="E455" s="4" t="s">
        <v>46</v>
      </c>
      <c r="F455" s="4" t="s">
        <v>59</v>
      </c>
      <c r="G455" s="4" t="s">
        <v>60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1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6" t="s">
        <v>53</v>
      </c>
      <c r="AJ455" s="7">
        <v>1</v>
      </c>
    </row>
    <row r="456" spans="1:36" hidden="1" x14ac:dyDescent="0.3">
      <c r="A456" s="4" t="s">
        <v>36</v>
      </c>
      <c r="B456" s="4" t="s">
        <v>37</v>
      </c>
      <c r="C456" s="4" t="s">
        <v>992</v>
      </c>
      <c r="D456" s="4" t="s">
        <v>993</v>
      </c>
      <c r="E456" s="4" t="s">
        <v>46</v>
      </c>
      <c r="F456" s="4" t="s">
        <v>72</v>
      </c>
      <c r="G456" s="4" t="s">
        <v>52</v>
      </c>
      <c r="H456" s="5">
        <v>1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1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1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6" t="s">
        <v>53</v>
      </c>
      <c r="AJ456" s="7">
        <v>3</v>
      </c>
    </row>
    <row r="457" spans="1:36" hidden="1" x14ac:dyDescent="0.3">
      <c r="A457" s="4" t="s">
        <v>36</v>
      </c>
      <c r="B457" s="4" t="s">
        <v>37</v>
      </c>
      <c r="C457" s="4" t="s">
        <v>995</v>
      </c>
      <c r="D457" s="4" t="s">
        <v>996</v>
      </c>
      <c r="E457" s="4" t="s">
        <v>46</v>
      </c>
      <c r="F457" s="4" t="s">
        <v>59</v>
      </c>
      <c r="G457" s="4" t="s">
        <v>60</v>
      </c>
      <c r="H457" s="5">
        <v>0</v>
      </c>
      <c r="I457" s="5">
        <v>1</v>
      </c>
      <c r="J457" s="5">
        <v>0</v>
      </c>
      <c r="K457" s="5">
        <v>1</v>
      </c>
      <c r="L457" s="5">
        <v>0</v>
      </c>
      <c r="M457" s="5">
        <v>1</v>
      </c>
      <c r="N457" s="5">
        <v>0</v>
      </c>
      <c r="O457" s="5">
        <v>1</v>
      </c>
      <c r="P457" s="5">
        <v>1</v>
      </c>
      <c r="Q457" s="5">
        <v>1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1</v>
      </c>
      <c r="Y457" s="5">
        <v>0</v>
      </c>
      <c r="Z457" s="5">
        <v>0</v>
      </c>
      <c r="AA457" s="5">
        <v>0</v>
      </c>
      <c r="AB457" s="5">
        <v>1</v>
      </c>
      <c r="AC457" s="5">
        <v>0</v>
      </c>
      <c r="AD457" s="5">
        <v>0</v>
      </c>
      <c r="AE457" s="5">
        <v>0</v>
      </c>
      <c r="AF457" s="5">
        <v>0</v>
      </c>
      <c r="AG457" s="5">
        <v>1</v>
      </c>
      <c r="AH457" s="5">
        <v>0</v>
      </c>
      <c r="AI457" s="6" t="s">
        <v>43</v>
      </c>
      <c r="AJ457" s="7">
        <v>9</v>
      </c>
    </row>
    <row r="458" spans="1:36" hidden="1" x14ac:dyDescent="0.3">
      <c r="A458" s="4" t="s">
        <v>36</v>
      </c>
      <c r="B458" s="4" t="s">
        <v>37</v>
      </c>
      <c r="C458" s="4" t="s">
        <v>997</v>
      </c>
      <c r="D458" s="4" t="s">
        <v>998</v>
      </c>
      <c r="E458" s="4" t="s">
        <v>46</v>
      </c>
      <c r="F458" s="4" t="s">
        <v>93</v>
      </c>
      <c r="G458" s="4" t="s">
        <v>42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1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6" t="s">
        <v>53</v>
      </c>
      <c r="AJ458" s="7">
        <v>1</v>
      </c>
    </row>
    <row r="459" spans="1:36" hidden="1" x14ac:dyDescent="0.3">
      <c r="A459" s="4" t="s">
        <v>36</v>
      </c>
      <c r="B459" s="4" t="s">
        <v>37</v>
      </c>
      <c r="C459" s="4" t="s">
        <v>999</v>
      </c>
      <c r="D459" s="4" t="s">
        <v>1000</v>
      </c>
      <c r="E459" s="4" t="s">
        <v>46</v>
      </c>
      <c r="F459" s="4" t="s">
        <v>165</v>
      </c>
      <c r="G459" s="4" t="s">
        <v>64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1</v>
      </c>
      <c r="O459" s="5">
        <v>0</v>
      </c>
      <c r="P459" s="5">
        <v>0</v>
      </c>
      <c r="Q459" s="5">
        <v>1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6" t="s">
        <v>53</v>
      </c>
      <c r="AJ459" s="7">
        <v>3</v>
      </c>
    </row>
    <row r="460" spans="1:36" hidden="1" x14ac:dyDescent="0.3">
      <c r="A460" s="4" t="s">
        <v>36</v>
      </c>
      <c r="B460" s="4" t="s">
        <v>37</v>
      </c>
      <c r="C460" s="4" t="s">
        <v>1001</v>
      </c>
      <c r="D460" s="4" t="s">
        <v>1002</v>
      </c>
      <c r="E460" s="4" t="s">
        <v>46</v>
      </c>
      <c r="F460" s="4" t="s">
        <v>80</v>
      </c>
      <c r="G460" s="4" t="s">
        <v>64</v>
      </c>
      <c r="H460" s="5">
        <v>1</v>
      </c>
      <c r="I460" s="5">
        <v>1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6" t="s">
        <v>53</v>
      </c>
      <c r="AJ460" s="7">
        <v>2</v>
      </c>
    </row>
    <row r="461" spans="1:36" hidden="1" x14ac:dyDescent="0.3">
      <c r="A461" s="4" t="s">
        <v>36</v>
      </c>
      <c r="B461" s="4" t="s">
        <v>37</v>
      </c>
      <c r="C461" s="4" t="s">
        <v>1003</v>
      </c>
      <c r="D461" s="4" t="s">
        <v>1004</v>
      </c>
      <c r="E461" s="4" t="s">
        <v>46</v>
      </c>
      <c r="F461" s="4" t="s">
        <v>59</v>
      </c>
      <c r="G461" s="4" t="s">
        <v>60</v>
      </c>
      <c r="H461" s="5">
        <v>1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6" t="s">
        <v>53</v>
      </c>
      <c r="AJ461" s="7">
        <v>1</v>
      </c>
    </row>
    <row r="462" spans="1:36" hidden="1" x14ac:dyDescent="0.3">
      <c r="A462" s="4" t="s">
        <v>36</v>
      </c>
      <c r="B462" s="4" t="s">
        <v>37</v>
      </c>
      <c r="C462" s="4" t="s">
        <v>1005</v>
      </c>
      <c r="D462" s="4" t="s">
        <v>1006</v>
      </c>
      <c r="E462" s="4" t="s">
        <v>46</v>
      </c>
      <c r="F462" s="4" t="s">
        <v>63</v>
      </c>
      <c r="G462" s="4" t="s">
        <v>64</v>
      </c>
      <c r="H462" s="5">
        <v>0</v>
      </c>
      <c r="I462" s="5">
        <v>0</v>
      </c>
      <c r="J462" s="5">
        <v>1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1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1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6" t="s">
        <v>53</v>
      </c>
      <c r="AJ462" s="7">
        <v>3</v>
      </c>
    </row>
    <row r="463" spans="1:36" hidden="1" x14ac:dyDescent="0.3">
      <c r="A463" s="4" t="s">
        <v>36</v>
      </c>
      <c r="B463" s="4" t="s">
        <v>37</v>
      </c>
      <c r="C463" s="4" t="s">
        <v>1007</v>
      </c>
      <c r="D463" s="4" t="s">
        <v>1008</v>
      </c>
      <c r="E463" s="4" t="s">
        <v>46</v>
      </c>
      <c r="F463" s="4" t="s">
        <v>96</v>
      </c>
      <c r="G463" s="4" t="s">
        <v>64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1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6" t="s">
        <v>53</v>
      </c>
      <c r="AJ463" s="7">
        <v>1</v>
      </c>
    </row>
    <row r="464" spans="1:36" hidden="1" x14ac:dyDescent="0.3">
      <c r="A464" s="4" t="s">
        <v>36</v>
      </c>
      <c r="B464" s="4" t="s">
        <v>37</v>
      </c>
      <c r="C464" s="4" t="s">
        <v>1009</v>
      </c>
      <c r="D464" s="4" t="s">
        <v>1010</v>
      </c>
      <c r="E464" s="4" t="s">
        <v>46</v>
      </c>
      <c r="F464" s="4" t="s">
        <v>80</v>
      </c>
      <c r="G464" s="4" t="s">
        <v>64</v>
      </c>
      <c r="H464" s="5">
        <v>0</v>
      </c>
      <c r="I464" s="5">
        <v>0</v>
      </c>
      <c r="J464" s="5">
        <v>1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1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6" t="s">
        <v>53</v>
      </c>
      <c r="AJ464" s="7">
        <v>2</v>
      </c>
    </row>
    <row r="465" spans="1:36" hidden="1" x14ac:dyDescent="0.3">
      <c r="A465" s="4" t="s">
        <v>36</v>
      </c>
      <c r="B465" s="4" t="s">
        <v>37</v>
      </c>
      <c r="C465" s="4" t="s">
        <v>1011</v>
      </c>
      <c r="D465" s="4" t="s">
        <v>1012</v>
      </c>
      <c r="E465" s="4" t="s">
        <v>46</v>
      </c>
      <c r="F465" s="4" t="s">
        <v>168</v>
      </c>
      <c r="G465" s="4" t="s">
        <v>52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6" t="s">
        <v>53</v>
      </c>
      <c r="AJ465" s="7">
        <v>1</v>
      </c>
    </row>
    <row r="466" spans="1:36" hidden="1" x14ac:dyDescent="0.3">
      <c r="A466" s="4" t="s">
        <v>36</v>
      </c>
      <c r="B466" s="4" t="s">
        <v>37</v>
      </c>
      <c r="C466" s="4" t="s">
        <v>1013</v>
      </c>
      <c r="D466" s="4" t="s">
        <v>1014</v>
      </c>
      <c r="E466" s="4" t="s">
        <v>46</v>
      </c>
      <c r="F466" s="4" t="s">
        <v>77</v>
      </c>
      <c r="G466" s="4" t="s">
        <v>52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1</v>
      </c>
      <c r="AF466" s="5">
        <v>0</v>
      </c>
      <c r="AG466" s="5">
        <v>0</v>
      </c>
      <c r="AH466" s="5">
        <v>0</v>
      </c>
      <c r="AI466" s="6" t="s">
        <v>53</v>
      </c>
      <c r="AJ466" s="7">
        <v>1</v>
      </c>
    </row>
    <row r="467" spans="1:36" hidden="1" x14ac:dyDescent="0.3">
      <c r="A467" s="4" t="s">
        <v>36</v>
      </c>
      <c r="B467" s="4" t="s">
        <v>37</v>
      </c>
      <c r="C467" s="4" t="s">
        <v>1015</v>
      </c>
      <c r="D467" s="4" t="s">
        <v>1016</v>
      </c>
      <c r="E467" s="4" t="s">
        <v>46</v>
      </c>
      <c r="F467" s="4" t="s">
        <v>77</v>
      </c>
      <c r="G467" s="4" t="s">
        <v>52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6" t="s">
        <v>53</v>
      </c>
      <c r="AJ467" s="7">
        <v>0</v>
      </c>
    </row>
    <row r="468" spans="1:36" hidden="1" x14ac:dyDescent="0.3">
      <c r="A468" s="4" t="s">
        <v>36</v>
      </c>
      <c r="B468" s="4" t="s">
        <v>37</v>
      </c>
      <c r="C468" s="4" t="s">
        <v>1017</v>
      </c>
      <c r="D468" s="4" t="s">
        <v>1018</v>
      </c>
      <c r="E468" s="4" t="s">
        <v>214</v>
      </c>
      <c r="F468" s="4" t="s">
        <v>215</v>
      </c>
      <c r="G468" s="4" t="s">
        <v>42</v>
      </c>
      <c r="H468" s="5">
        <v>1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6" t="s">
        <v>53</v>
      </c>
      <c r="AJ468" s="7">
        <v>1</v>
      </c>
    </row>
    <row r="469" spans="1:36" hidden="1" x14ac:dyDescent="0.3">
      <c r="A469" s="4" t="s">
        <v>36</v>
      </c>
      <c r="B469" s="4" t="s">
        <v>37</v>
      </c>
      <c r="C469" s="4" t="s">
        <v>1019</v>
      </c>
      <c r="D469" s="4" t="s">
        <v>1020</v>
      </c>
      <c r="E469" s="4" t="s">
        <v>46</v>
      </c>
      <c r="F469" s="4" t="s">
        <v>83</v>
      </c>
      <c r="G469" s="4" t="s">
        <v>52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1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6" t="s">
        <v>53</v>
      </c>
      <c r="AJ469" s="7">
        <v>1</v>
      </c>
    </row>
    <row r="470" spans="1:36" hidden="1" x14ac:dyDescent="0.3">
      <c r="A470" s="4" t="s">
        <v>36</v>
      </c>
      <c r="B470" s="4" t="s">
        <v>37</v>
      </c>
      <c r="C470" s="4" t="s">
        <v>1021</v>
      </c>
      <c r="D470" s="4" t="s">
        <v>1022</v>
      </c>
      <c r="E470" s="4" t="s">
        <v>214</v>
      </c>
      <c r="F470" s="4" t="s">
        <v>215</v>
      </c>
      <c r="G470" s="4" t="s">
        <v>42</v>
      </c>
      <c r="H470" s="5">
        <v>1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1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6" t="s">
        <v>53</v>
      </c>
      <c r="AJ470" s="7">
        <v>2</v>
      </c>
    </row>
    <row r="471" spans="1:36" hidden="1" x14ac:dyDescent="0.3">
      <c r="A471" s="4" t="s">
        <v>36</v>
      </c>
      <c r="B471" s="4" t="s">
        <v>37</v>
      </c>
      <c r="C471" s="4" t="s">
        <v>1023</v>
      </c>
      <c r="D471" s="4" t="s">
        <v>1024</v>
      </c>
      <c r="E471" s="4" t="s">
        <v>46</v>
      </c>
      <c r="F471" s="4" t="s">
        <v>140</v>
      </c>
      <c r="G471" s="4" t="s">
        <v>42</v>
      </c>
      <c r="H471" s="5">
        <v>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1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6" t="s">
        <v>53</v>
      </c>
      <c r="AJ471" s="7">
        <v>2</v>
      </c>
    </row>
    <row r="472" spans="1:36" hidden="1" x14ac:dyDescent="0.3">
      <c r="A472" s="4" t="s">
        <v>36</v>
      </c>
      <c r="B472" s="4" t="s">
        <v>37</v>
      </c>
      <c r="C472" s="4" t="s">
        <v>1025</v>
      </c>
      <c r="D472" s="4" t="s">
        <v>1026</v>
      </c>
      <c r="E472" s="4" t="s">
        <v>46</v>
      </c>
      <c r="F472" s="4" t="s">
        <v>72</v>
      </c>
      <c r="G472" s="4" t="s">
        <v>52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1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6" t="s">
        <v>53</v>
      </c>
      <c r="AJ472" s="7">
        <v>1</v>
      </c>
    </row>
  </sheetData>
  <autoFilter ref="A1:AJ472">
    <filterColumn colId="6">
      <filters>
        <filter val="客户销售四组"/>
      </filters>
    </filterColumn>
  </autoFilter>
  <phoneticPr fontId="3" type="noConversion"/>
  <conditionalFormatting sqref="H1:AH104857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47"/>
  <sheetViews>
    <sheetView workbookViewId="0">
      <selection activeCell="F156" sqref="F156"/>
    </sheetView>
  </sheetViews>
  <sheetFormatPr defaultRowHeight="14" x14ac:dyDescent="0.3"/>
  <cols>
    <col min="1" max="1" width="16.9140625" style="16" customWidth="1"/>
    <col min="2" max="2" width="9" style="16"/>
    <col min="3" max="3" width="11.6640625" style="16" customWidth="1"/>
    <col min="4" max="4" width="30.9140625" style="16" customWidth="1"/>
    <col min="5" max="5" width="10.08203125" style="16" customWidth="1"/>
    <col min="6" max="6" width="15.33203125" style="16" customWidth="1"/>
    <col min="7" max="7" width="12" style="16" customWidth="1"/>
    <col min="8" max="8" width="9" style="16"/>
    <col min="9" max="9" width="15.33203125" style="21" customWidth="1"/>
    <col min="10" max="10" width="16.4140625" style="21" customWidth="1"/>
  </cols>
  <sheetData>
    <row r="1" spans="1:10" x14ac:dyDescent="0.3">
      <c r="A1" s="11" t="s">
        <v>1027</v>
      </c>
      <c r="B1" s="11" t="s">
        <v>1028</v>
      </c>
      <c r="C1" s="11" t="s">
        <v>1029</v>
      </c>
      <c r="D1" s="11" t="s">
        <v>1030</v>
      </c>
      <c r="E1" s="11" t="s">
        <v>1031</v>
      </c>
      <c r="F1" s="11" t="s">
        <v>1032</v>
      </c>
      <c r="G1" s="11" t="s">
        <v>1033</v>
      </c>
      <c r="H1" s="12"/>
      <c r="I1" s="22" t="s">
        <v>1034</v>
      </c>
      <c r="J1" s="13" t="s">
        <v>1035</v>
      </c>
    </row>
    <row r="2" spans="1:10" x14ac:dyDescent="0.3">
      <c r="A2" s="14" t="s">
        <v>1036</v>
      </c>
      <c r="B2" s="14" t="s">
        <v>1037</v>
      </c>
      <c r="C2" s="14" t="s">
        <v>56</v>
      </c>
      <c r="D2" s="14" t="s">
        <v>632</v>
      </c>
      <c r="E2" s="15">
        <v>1215</v>
      </c>
      <c r="F2" s="14" t="str">
        <f>VLOOKUP(C2,[1]销售对应表!C:J,5,0)</f>
        <v>客户销售四组</v>
      </c>
      <c r="G2" s="14" t="str">
        <f>VLOOKUP(C2,[1]销售对应表!C:J,6,0)</f>
        <v>客户销售一部</v>
      </c>
      <c r="I2" s="17" t="s">
        <v>60</v>
      </c>
      <c r="J2" s="18">
        <v>10402782.469999999</v>
      </c>
    </row>
    <row r="3" spans="1:10" hidden="1" x14ac:dyDescent="0.3">
      <c r="A3" s="14" t="s">
        <v>1036</v>
      </c>
      <c r="B3" s="14" t="s">
        <v>1037</v>
      </c>
      <c r="C3" s="14" t="s">
        <v>215</v>
      </c>
      <c r="D3" s="14" t="s">
        <v>275</v>
      </c>
      <c r="E3" s="15">
        <v>41175</v>
      </c>
      <c r="F3" s="14" t="str">
        <f>VLOOKUP(C3,[1]销售对应表!C:J,5,0)</f>
        <v>客户销售二组</v>
      </c>
      <c r="G3" s="14" t="str">
        <f>VLOOKUP(C3,[1]销售对应表!C:J,6,0)</f>
        <v>客户销售一部</v>
      </c>
      <c r="I3" s="19" t="s">
        <v>42</v>
      </c>
      <c r="J3" s="18">
        <v>1696779.5</v>
      </c>
    </row>
    <row r="4" spans="1:10" hidden="1" x14ac:dyDescent="0.3">
      <c r="A4" s="14" t="s">
        <v>1036</v>
      </c>
      <c r="B4" s="14" t="s">
        <v>1037</v>
      </c>
      <c r="C4" s="14" t="s">
        <v>215</v>
      </c>
      <c r="D4" s="14" t="s">
        <v>933</v>
      </c>
      <c r="E4" s="15">
        <v>835</v>
      </c>
      <c r="F4" s="14" t="str">
        <f>VLOOKUP(C4,[1]销售对应表!C:J,5,0)</f>
        <v>客户销售二组</v>
      </c>
      <c r="G4" s="14" t="str">
        <f>VLOOKUP(C4,[1]销售对应表!C:J,6,0)</f>
        <v>客户销售一部</v>
      </c>
      <c r="I4" s="20" t="s">
        <v>93</v>
      </c>
      <c r="J4" s="18">
        <v>101420</v>
      </c>
    </row>
    <row r="5" spans="1:10" x14ac:dyDescent="0.3">
      <c r="A5" s="14" t="s">
        <v>1036</v>
      </c>
      <c r="B5" s="14" t="s">
        <v>1037</v>
      </c>
      <c r="C5" s="14" t="s">
        <v>104</v>
      </c>
      <c r="D5" s="14" t="s">
        <v>193</v>
      </c>
      <c r="E5" s="15">
        <v>7560</v>
      </c>
      <c r="F5" s="14" t="str">
        <f>VLOOKUP(C5,[1]销售对应表!C:J,5,0)</f>
        <v>客户销售四组</v>
      </c>
      <c r="G5" s="14" t="str">
        <f>VLOOKUP(C5,[1]销售对应表!C:J,6,0)</f>
        <v>客户销售一部</v>
      </c>
      <c r="I5" s="20" t="s">
        <v>41</v>
      </c>
      <c r="J5" s="18">
        <v>370550</v>
      </c>
    </row>
    <row r="6" spans="1:10" x14ac:dyDescent="0.3">
      <c r="A6" s="14" t="s">
        <v>1036</v>
      </c>
      <c r="B6" s="14" t="s">
        <v>1037</v>
      </c>
      <c r="C6" s="14" t="s">
        <v>101</v>
      </c>
      <c r="D6" s="14" t="s">
        <v>874</v>
      </c>
      <c r="E6" s="15">
        <v>2080</v>
      </c>
      <c r="F6" s="14" t="str">
        <f>VLOOKUP(C6,[1]销售对应表!C:J,5,0)</f>
        <v>客户销售四组</v>
      </c>
      <c r="G6" s="14" t="str">
        <f>VLOOKUP(C6,[1]销售对应表!C:J,6,0)</f>
        <v>客户销售一部</v>
      </c>
      <c r="I6" s="20" t="s">
        <v>140</v>
      </c>
      <c r="J6" s="18">
        <v>75865.58</v>
      </c>
    </row>
    <row r="7" spans="1:10" hidden="1" x14ac:dyDescent="0.3">
      <c r="A7" s="14" t="s">
        <v>1036</v>
      </c>
      <c r="B7" s="14" t="s">
        <v>1037</v>
      </c>
      <c r="C7" s="14" t="s">
        <v>59</v>
      </c>
      <c r="D7" s="14" t="s">
        <v>177</v>
      </c>
      <c r="E7" s="15">
        <v>546</v>
      </c>
      <c r="F7" s="14" t="str">
        <f>VLOOKUP(C7,[1]销售对应表!C:J,5,0)</f>
        <v>客户销售一部</v>
      </c>
      <c r="G7" s="14" t="str">
        <f>VLOOKUP(C7,[1]销售对应表!C:J,6,0)</f>
        <v>客户销售一部</v>
      </c>
      <c r="I7" s="20" t="s">
        <v>86</v>
      </c>
      <c r="J7" s="18">
        <v>324895</v>
      </c>
    </row>
    <row r="8" spans="1:10" hidden="1" x14ac:dyDescent="0.3">
      <c r="A8" s="14" t="s">
        <v>1036</v>
      </c>
      <c r="B8" s="14" t="s">
        <v>1037</v>
      </c>
      <c r="C8" s="14" t="s">
        <v>59</v>
      </c>
      <c r="D8" s="14" t="s">
        <v>484</v>
      </c>
      <c r="E8" s="15">
        <v>5202</v>
      </c>
      <c r="F8" s="14" t="str">
        <f>VLOOKUP(C8,[1]销售对应表!C:J,5,0)</f>
        <v>客户销售一部</v>
      </c>
      <c r="G8" s="14" t="str">
        <f>VLOOKUP(C8,[1]销售对应表!C:J,6,0)</f>
        <v>客户销售一部</v>
      </c>
      <c r="I8" s="20" t="s">
        <v>215</v>
      </c>
      <c r="J8" s="18">
        <v>824048.91999999993</v>
      </c>
    </row>
    <row r="9" spans="1:10" hidden="1" x14ac:dyDescent="0.3">
      <c r="A9" s="14" t="s">
        <v>1036</v>
      </c>
      <c r="B9" s="14" t="s">
        <v>1037</v>
      </c>
      <c r="C9" s="14" t="s">
        <v>80</v>
      </c>
      <c r="D9" s="14" t="s">
        <v>719</v>
      </c>
      <c r="E9" s="15">
        <v>5320</v>
      </c>
      <c r="F9" s="14" t="str">
        <f>VLOOKUP(C9,[1]销售对应表!C:J,5,0)</f>
        <v>客户销售三组</v>
      </c>
      <c r="G9" s="14" t="str">
        <f>VLOOKUP(C9,[1]销售对应表!C:J,6,0)</f>
        <v>客户销售一部</v>
      </c>
      <c r="I9" s="19" t="s">
        <v>64</v>
      </c>
      <c r="J9" s="18">
        <v>969229.97</v>
      </c>
    </row>
    <row r="10" spans="1:10" hidden="1" x14ac:dyDescent="0.3">
      <c r="A10" s="14" t="s">
        <v>1036</v>
      </c>
      <c r="B10" s="14" t="s">
        <v>1037</v>
      </c>
      <c r="C10" s="14" t="s">
        <v>80</v>
      </c>
      <c r="D10" s="14" t="s">
        <v>98</v>
      </c>
      <c r="E10" s="15">
        <v>17220</v>
      </c>
      <c r="F10" s="14" t="str">
        <f>VLOOKUP(C10,[1]销售对应表!C:J,5,0)</f>
        <v>客户销售三组</v>
      </c>
      <c r="G10" s="14" t="str">
        <f>VLOOKUP(C10,[1]销售对应表!C:J,6,0)</f>
        <v>客户销售一部</v>
      </c>
      <c r="I10" s="20" t="s">
        <v>96</v>
      </c>
      <c r="J10" s="18">
        <v>20584</v>
      </c>
    </row>
    <row r="11" spans="1:10" hidden="1" x14ac:dyDescent="0.3">
      <c r="A11" s="14" t="s">
        <v>1036</v>
      </c>
      <c r="B11" s="14" t="s">
        <v>1037</v>
      </c>
      <c r="C11" s="14" t="s">
        <v>80</v>
      </c>
      <c r="D11" s="14" t="s">
        <v>137</v>
      </c>
      <c r="E11" s="15">
        <v>757</v>
      </c>
      <c r="F11" s="14" t="str">
        <f>VLOOKUP(C11,[1]销售对应表!C:J,5,0)</f>
        <v>客户销售三组</v>
      </c>
      <c r="G11" s="14" t="str">
        <f>VLOOKUP(C11,[1]销售对应表!C:J,6,0)</f>
        <v>客户销售一部</v>
      </c>
      <c r="I11" s="20" t="s">
        <v>63</v>
      </c>
      <c r="J11" s="18">
        <v>50865</v>
      </c>
    </row>
    <row r="12" spans="1:10" x14ac:dyDescent="0.3">
      <c r="A12" s="14" t="s">
        <v>1036</v>
      </c>
      <c r="B12" s="14" t="s">
        <v>1037</v>
      </c>
      <c r="C12" s="14" t="s">
        <v>394</v>
      </c>
      <c r="D12" s="14" t="s">
        <v>549</v>
      </c>
      <c r="E12" s="15">
        <v>2040</v>
      </c>
      <c r="F12" s="14" t="str">
        <f>VLOOKUP(C12,[1]销售对应表!C:J,5,0)</f>
        <v>客户销售四组</v>
      </c>
      <c r="G12" s="14" t="str">
        <f>VLOOKUP(C12,[1]销售对应表!C:J,6,0)</f>
        <v>客户销售一部</v>
      </c>
      <c r="I12" s="20" t="s">
        <v>80</v>
      </c>
      <c r="J12" s="18">
        <v>778799.97</v>
      </c>
    </row>
    <row r="13" spans="1:10" hidden="1" x14ac:dyDescent="0.3">
      <c r="A13" s="14" t="s">
        <v>1036</v>
      </c>
      <c r="B13" s="14" t="s">
        <v>1037</v>
      </c>
      <c r="C13" s="14" t="s">
        <v>93</v>
      </c>
      <c r="D13" s="14" t="s">
        <v>713</v>
      </c>
      <c r="E13" s="15">
        <v>4730</v>
      </c>
      <c r="F13" s="14" t="str">
        <f>VLOOKUP(C13,[1]销售对应表!C:J,5,0)</f>
        <v>客户销售二组</v>
      </c>
      <c r="G13" s="14" t="str">
        <f>VLOOKUP(C13,[1]销售对应表!C:J,6,0)</f>
        <v>客户销售一部</v>
      </c>
      <c r="I13" s="20" t="s">
        <v>165</v>
      </c>
      <c r="J13" s="18">
        <v>118981</v>
      </c>
    </row>
    <row r="14" spans="1:10" hidden="1" x14ac:dyDescent="0.3">
      <c r="A14" s="14" t="s">
        <v>1036</v>
      </c>
      <c r="B14" s="14" t="s">
        <v>1037</v>
      </c>
      <c r="C14" s="14" t="s">
        <v>93</v>
      </c>
      <c r="D14" s="14" t="s">
        <v>496</v>
      </c>
      <c r="E14" s="15">
        <v>7400</v>
      </c>
      <c r="F14" s="14" t="str">
        <f>VLOOKUP(C14,[1]销售对应表!C:J,5,0)</f>
        <v>客户销售二组</v>
      </c>
      <c r="G14" s="14" t="str">
        <f>VLOOKUP(C14,[1]销售对应表!C:J,6,0)</f>
        <v>客户销售一部</v>
      </c>
      <c r="I14" s="19" t="s">
        <v>48</v>
      </c>
      <c r="J14" s="18">
        <v>4801290</v>
      </c>
    </row>
    <row r="15" spans="1:10" hidden="1" x14ac:dyDescent="0.3">
      <c r="A15" s="14" t="s">
        <v>1036</v>
      </c>
      <c r="B15" s="14" t="s">
        <v>1037</v>
      </c>
      <c r="C15" s="14" t="s">
        <v>140</v>
      </c>
      <c r="D15" s="14" t="s">
        <v>807</v>
      </c>
      <c r="E15" s="15">
        <v>7599</v>
      </c>
      <c r="F15" s="14" t="str">
        <f>VLOOKUP(C15,[1]销售对应表!C:J,5,0)</f>
        <v>客户销售二组</v>
      </c>
      <c r="G15" s="14" t="str">
        <f>VLOOKUP(C15,[1]销售对应表!C:J,6,0)</f>
        <v>客户销售一部</v>
      </c>
      <c r="I15" s="20" t="s">
        <v>175</v>
      </c>
      <c r="J15" s="18">
        <v>1973829</v>
      </c>
    </row>
    <row r="16" spans="1:10" hidden="1" x14ac:dyDescent="0.3">
      <c r="A16" s="14" t="s">
        <v>1036</v>
      </c>
      <c r="B16" s="14" t="s">
        <v>1037</v>
      </c>
      <c r="C16" s="14" t="s">
        <v>140</v>
      </c>
      <c r="D16" s="14" t="s">
        <v>861</v>
      </c>
      <c r="E16" s="15">
        <v>2020</v>
      </c>
      <c r="F16" s="14" t="str">
        <f>VLOOKUP(C16,[1]销售对应表!C:J,5,0)</f>
        <v>客户销售二组</v>
      </c>
      <c r="G16" s="14" t="str">
        <f>VLOOKUP(C16,[1]销售对应表!C:J,6,0)</f>
        <v>客户销售一部</v>
      </c>
      <c r="I16" s="20" t="s">
        <v>394</v>
      </c>
      <c r="J16" s="18">
        <v>28905</v>
      </c>
    </row>
    <row r="17" spans="1:10" hidden="1" x14ac:dyDescent="0.3">
      <c r="A17" s="14" t="s">
        <v>1036</v>
      </c>
      <c r="B17" s="14" t="s">
        <v>1037</v>
      </c>
      <c r="C17" s="14" t="s">
        <v>140</v>
      </c>
      <c r="D17" s="14" t="s">
        <v>553</v>
      </c>
      <c r="E17" s="15">
        <v>400</v>
      </c>
      <c r="F17" s="14" t="str">
        <f>VLOOKUP(C17,[1]销售对应表!C:J,5,0)</f>
        <v>客户销售二组</v>
      </c>
      <c r="G17" s="14" t="str">
        <f>VLOOKUP(C17,[1]销售对应表!C:J,6,0)</f>
        <v>客户销售一部</v>
      </c>
      <c r="I17" s="20" t="s">
        <v>67</v>
      </c>
      <c r="J17" s="18">
        <v>986520</v>
      </c>
    </row>
    <row r="18" spans="1:10" hidden="1" x14ac:dyDescent="0.3">
      <c r="A18" s="14" t="s">
        <v>1036</v>
      </c>
      <c r="B18" s="14" t="s">
        <v>1037</v>
      </c>
      <c r="C18" s="14" t="s">
        <v>140</v>
      </c>
      <c r="D18" s="14" t="s">
        <v>775</v>
      </c>
      <c r="E18" s="15">
        <v>2590</v>
      </c>
      <c r="F18" s="14" t="str">
        <f>VLOOKUP(C18,[1]销售对应表!C:J,5,0)</f>
        <v>客户销售二组</v>
      </c>
      <c r="G18" s="14" t="str">
        <f>VLOOKUP(C18,[1]销售对应表!C:J,6,0)</f>
        <v>客户销售一部</v>
      </c>
      <c r="I18" s="20" t="s">
        <v>101</v>
      </c>
      <c r="J18" s="18">
        <v>193613</v>
      </c>
    </row>
    <row r="19" spans="1:10" x14ac:dyDescent="0.3">
      <c r="A19" s="14" t="s">
        <v>1038</v>
      </c>
      <c r="B19" s="14" t="s">
        <v>1037</v>
      </c>
      <c r="C19" s="14" t="s">
        <v>56</v>
      </c>
      <c r="D19" s="14" t="s">
        <v>513</v>
      </c>
      <c r="E19" s="15">
        <v>1070</v>
      </c>
      <c r="F19" s="14" t="str">
        <f>VLOOKUP(C19,[1]销售对应表!C:J,5,0)</f>
        <v>客户销售四组</v>
      </c>
      <c r="G19" s="14" t="str">
        <f>VLOOKUP(C19,[1]销售对应表!C:J,6,0)</f>
        <v>客户销售一部</v>
      </c>
      <c r="I19" s="20" t="s">
        <v>56</v>
      </c>
      <c r="J19" s="18">
        <v>1061062</v>
      </c>
    </row>
    <row r="20" spans="1:10" hidden="1" x14ac:dyDescent="0.3">
      <c r="A20" s="14" t="s">
        <v>1038</v>
      </c>
      <c r="B20" s="14" t="s">
        <v>1037</v>
      </c>
      <c r="C20" s="14" t="s">
        <v>215</v>
      </c>
      <c r="D20" s="14" t="s">
        <v>261</v>
      </c>
      <c r="E20" s="15">
        <v>9900</v>
      </c>
      <c r="F20" s="14" t="str">
        <f>VLOOKUP(C20,[1]销售对应表!C:J,5,0)</f>
        <v>客户销售二组</v>
      </c>
      <c r="G20" s="14" t="str">
        <f>VLOOKUP(C20,[1]销售对应表!C:J,6,0)</f>
        <v>客户销售一部</v>
      </c>
      <c r="I20" s="20" t="s">
        <v>104</v>
      </c>
      <c r="J20" s="18">
        <v>61053</v>
      </c>
    </row>
    <row r="21" spans="1:10" hidden="1" x14ac:dyDescent="0.3">
      <c r="A21" s="14" t="s">
        <v>1038</v>
      </c>
      <c r="B21" s="14" t="s">
        <v>1037</v>
      </c>
      <c r="C21" s="14" t="s">
        <v>72</v>
      </c>
      <c r="D21" s="14" t="s">
        <v>421</v>
      </c>
      <c r="E21" s="15">
        <v>678000</v>
      </c>
      <c r="F21" s="14" t="str">
        <f>VLOOKUP(C21,[1]销售对应表!C:J,5,0)</f>
        <v>客户销售一组</v>
      </c>
      <c r="G21" s="14" t="str">
        <f>VLOOKUP(C21,[1]销售对应表!C:J,6,0)</f>
        <v>客户销售一部</v>
      </c>
      <c r="I21" s="20" t="s">
        <v>47</v>
      </c>
      <c r="J21" s="18">
        <v>496308</v>
      </c>
    </row>
    <row r="22" spans="1:10" hidden="1" x14ac:dyDescent="0.3">
      <c r="A22" s="14" t="s">
        <v>1038</v>
      </c>
      <c r="B22" s="14" t="s">
        <v>1037</v>
      </c>
      <c r="C22" s="14" t="s">
        <v>472</v>
      </c>
      <c r="D22" s="14" t="s">
        <v>881</v>
      </c>
      <c r="E22" s="15">
        <v>680</v>
      </c>
      <c r="F22" s="14" t="str">
        <f>VLOOKUP(C22,[1]销售对应表!C:J,5,0)</f>
        <v>客户销售一组</v>
      </c>
      <c r="G22" s="14" t="str">
        <f>VLOOKUP(C22,[1]销售对应表!C:J,6,0)</f>
        <v>客户销售一部</v>
      </c>
      <c r="I22" s="19" t="s">
        <v>52</v>
      </c>
      <c r="J22" s="18">
        <v>2787456</v>
      </c>
    </row>
    <row r="23" spans="1:10" x14ac:dyDescent="0.3">
      <c r="A23" s="14" t="s">
        <v>1038</v>
      </c>
      <c r="B23" s="14" t="s">
        <v>1037</v>
      </c>
      <c r="C23" s="14" t="s">
        <v>104</v>
      </c>
      <c r="D23" s="14" t="s">
        <v>107</v>
      </c>
      <c r="E23" s="15">
        <v>488</v>
      </c>
      <c r="F23" s="14" t="str">
        <f>VLOOKUP(C23,[1]销售对应表!C:J,5,0)</f>
        <v>客户销售四组</v>
      </c>
      <c r="G23" s="14" t="str">
        <f>VLOOKUP(C23,[1]销售对应表!C:J,6,0)</f>
        <v>客户销售一部</v>
      </c>
      <c r="I23" s="20" t="s">
        <v>168</v>
      </c>
      <c r="J23" s="18">
        <v>522156</v>
      </c>
    </row>
    <row r="24" spans="1:10" x14ac:dyDescent="0.3">
      <c r="A24" s="14" t="s">
        <v>1038</v>
      </c>
      <c r="B24" s="14" t="s">
        <v>1037</v>
      </c>
      <c r="C24" s="14" t="s">
        <v>101</v>
      </c>
      <c r="D24" s="14" t="s">
        <v>874</v>
      </c>
      <c r="E24" s="15">
        <v>2700</v>
      </c>
      <c r="F24" s="14" t="str">
        <f>VLOOKUP(C24,[1]销售对应表!C:J,5,0)</f>
        <v>客户销售四组</v>
      </c>
      <c r="G24" s="14" t="str">
        <f>VLOOKUP(C24,[1]销售对应表!C:J,6,0)</f>
        <v>客户销售一部</v>
      </c>
      <c r="I24" s="20" t="s">
        <v>51</v>
      </c>
      <c r="J24" s="18">
        <v>350195</v>
      </c>
    </row>
    <row r="25" spans="1:10" hidden="1" x14ac:dyDescent="0.3">
      <c r="A25" s="14" t="s">
        <v>1038</v>
      </c>
      <c r="B25" s="14" t="s">
        <v>1037</v>
      </c>
      <c r="C25" s="14" t="s">
        <v>59</v>
      </c>
      <c r="D25" s="14" t="s">
        <v>943</v>
      </c>
      <c r="E25" s="15">
        <v>10800</v>
      </c>
      <c r="F25" s="14" t="str">
        <f>VLOOKUP(C25,[1]销售对应表!C:J,5,0)</f>
        <v>客户销售一部</v>
      </c>
      <c r="G25" s="14" t="str">
        <f>VLOOKUP(C25,[1]销售对应表!C:J,6,0)</f>
        <v>客户销售一部</v>
      </c>
      <c r="I25" s="20" t="s">
        <v>472</v>
      </c>
      <c r="J25" s="18">
        <v>109080</v>
      </c>
    </row>
    <row r="26" spans="1:10" hidden="1" x14ac:dyDescent="0.3">
      <c r="A26" s="14" t="s">
        <v>1038</v>
      </c>
      <c r="B26" s="14" t="s">
        <v>1037</v>
      </c>
      <c r="C26" s="14" t="s">
        <v>168</v>
      </c>
      <c r="D26" s="14" t="s">
        <v>709</v>
      </c>
      <c r="E26" s="15">
        <v>3600</v>
      </c>
      <c r="F26" s="14" t="str">
        <f>VLOOKUP(C26,[1]销售对应表!C:J,5,0)</f>
        <v>客户销售一组</v>
      </c>
      <c r="G26" s="14" t="str">
        <f>VLOOKUP(C26,[1]销售对应表!C:J,6,0)</f>
        <v>客户销售一部</v>
      </c>
      <c r="I26" s="20" t="s">
        <v>72</v>
      </c>
      <c r="J26" s="18">
        <v>1671460</v>
      </c>
    </row>
    <row r="27" spans="1:10" hidden="1" x14ac:dyDescent="0.3">
      <c r="A27" s="14" t="s">
        <v>1038</v>
      </c>
      <c r="B27" s="14" t="s">
        <v>1037</v>
      </c>
      <c r="C27" s="14" t="s">
        <v>168</v>
      </c>
      <c r="D27" s="14" t="s">
        <v>555</v>
      </c>
      <c r="E27" s="15">
        <v>2316</v>
      </c>
      <c r="F27" s="14" t="str">
        <f>VLOOKUP(C27,[1]销售对应表!C:J,5,0)</f>
        <v>客户销售一组</v>
      </c>
      <c r="G27" s="14" t="str">
        <f>VLOOKUP(C27,[1]销售对应表!C:J,6,0)</f>
        <v>客户销售一部</v>
      </c>
      <c r="I27" s="20" t="s">
        <v>83</v>
      </c>
      <c r="J27" s="18">
        <v>105395</v>
      </c>
    </row>
    <row r="28" spans="1:10" hidden="1" x14ac:dyDescent="0.3">
      <c r="A28" s="14" t="s">
        <v>1038</v>
      </c>
      <c r="B28" s="14" t="s">
        <v>1037</v>
      </c>
      <c r="C28" s="14" t="s">
        <v>51</v>
      </c>
      <c r="D28" s="14" t="s">
        <v>729</v>
      </c>
      <c r="E28" s="15">
        <v>46800</v>
      </c>
      <c r="F28" s="14" t="str">
        <f>VLOOKUP(C28,[1]销售对应表!C:J,5,0)</f>
        <v>客户销售一组</v>
      </c>
      <c r="G28" s="14" t="str">
        <f>VLOOKUP(C28,[1]销售对应表!C:J,6,0)</f>
        <v>客户销售一部</v>
      </c>
      <c r="I28" s="20" t="s">
        <v>77</v>
      </c>
      <c r="J28" s="18">
        <v>29170</v>
      </c>
    </row>
    <row r="29" spans="1:10" hidden="1" x14ac:dyDescent="0.3">
      <c r="A29" s="14" t="s">
        <v>1038</v>
      </c>
      <c r="B29" s="14" t="s">
        <v>1037</v>
      </c>
      <c r="C29" s="14" t="s">
        <v>51</v>
      </c>
      <c r="D29" s="14" t="s">
        <v>474</v>
      </c>
      <c r="E29" s="15">
        <v>2000</v>
      </c>
      <c r="F29" s="14" t="str">
        <f>VLOOKUP(C29,[1]销售对应表!C:J,5,0)</f>
        <v>客户销售一组</v>
      </c>
      <c r="G29" s="14" t="str">
        <f>VLOOKUP(C29,[1]销售对应表!C:J,6,0)</f>
        <v>客户销售一部</v>
      </c>
      <c r="I29" s="19" t="s">
        <v>60</v>
      </c>
      <c r="J29" s="18">
        <v>148027</v>
      </c>
    </row>
    <row r="30" spans="1:10" hidden="1" x14ac:dyDescent="0.3">
      <c r="A30" s="14" t="s">
        <v>1038</v>
      </c>
      <c r="B30" s="14" t="s">
        <v>1037</v>
      </c>
      <c r="C30" s="14" t="s">
        <v>51</v>
      </c>
      <c r="D30" s="14" t="s">
        <v>367</v>
      </c>
      <c r="E30" s="15">
        <v>3960</v>
      </c>
      <c r="F30" s="14" t="str">
        <f>VLOOKUP(C30,[1]销售对应表!C:J,5,0)</f>
        <v>客户销售一组</v>
      </c>
      <c r="G30" s="14" t="str">
        <f>VLOOKUP(C30,[1]销售对应表!C:J,6,0)</f>
        <v>客户销售一部</v>
      </c>
      <c r="I30" s="20" t="s">
        <v>59</v>
      </c>
      <c r="J30" s="18">
        <v>129412</v>
      </c>
    </row>
    <row r="31" spans="1:10" hidden="1" x14ac:dyDescent="0.3">
      <c r="A31" s="14" t="s">
        <v>1038</v>
      </c>
      <c r="B31" s="14" t="s">
        <v>1037</v>
      </c>
      <c r="C31" s="14" t="s">
        <v>165</v>
      </c>
      <c r="D31" s="14" t="s">
        <v>449</v>
      </c>
      <c r="E31" s="15">
        <v>17600</v>
      </c>
      <c r="F31" s="14" t="str">
        <f>VLOOKUP(C31,[1]销售对应表!C:J,5,0)</f>
        <v>客户销售三组</v>
      </c>
      <c r="G31" s="14" t="str">
        <f>VLOOKUP(C31,[1]销售对应表!C:J,6,0)</f>
        <v>客户销售一部</v>
      </c>
      <c r="I31" s="20" t="s">
        <v>125</v>
      </c>
      <c r="J31" s="18">
        <v>18615</v>
      </c>
    </row>
    <row r="32" spans="1:10" hidden="1" x14ac:dyDescent="0.3">
      <c r="A32" s="14" t="s">
        <v>1038</v>
      </c>
      <c r="B32" s="14" t="s">
        <v>1037</v>
      </c>
      <c r="C32" s="14" t="s">
        <v>86</v>
      </c>
      <c r="D32" s="14" t="s">
        <v>85</v>
      </c>
      <c r="E32" s="15">
        <v>1125</v>
      </c>
      <c r="F32" s="14" t="str">
        <f>VLOOKUP(C32,[1]销售对应表!C:J,5,0)</f>
        <v>客户销售二组</v>
      </c>
      <c r="G32" s="14" t="str">
        <f>VLOOKUP(C32,[1]销售对应表!C:J,6,0)</f>
        <v>客户销售一部</v>
      </c>
      <c r="I32" s="17" t="s">
        <v>1039</v>
      </c>
      <c r="J32" s="18"/>
    </row>
    <row r="33" spans="1:10" x14ac:dyDescent="0.3">
      <c r="A33" s="14" t="s">
        <v>1038</v>
      </c>
      <c r="B33" s="14" t="s">
        <v>1037</v>
      </c>
      <c r="C33" s="14" t="s">
        <v>394</v>
      </c>
      <c r="D33" s="14" t="s">
        <v>549</v>
      </c>
      <c r="E33" s="15">
        <v>3400</v>
      </c>
      <c r="F33" s="14" t="str">
        <f>VLOOKUP(C33,[1]销售对应表!C:J,5,0)</f>
        <v>客户销售四组</v>
      </c>
      <c r="G33" s="14" t="str">
        <f>VLOOKUP(C33,[1]销售对应表!C:J,6,0)</f>
        <v>客户销售一部</v>
      </c>
      <c r="I33" s="19" t="s">
        <v>1039</v>
      </c>
      <c r="J33" s="18"/>
    </row>
    <row r="34" spans="1:10" hidden="1" x14ac:dyDescent="0.3">
      <c r="A34" s="14" t="s">
        <v>1038</v>
      </c>
      <c r="B34" s="14" t="s">
        <v>1037</v>
      </c>
      <c r="C34" s="14" t="s">
        <v>93</v>
      </c>
      <c r="D34" s="14" t="s">
        <v>465</v>
      </c>
      <c r="E34" s="15">
        <v>-990</v>
      </c>
      <c r="F34" s="14" t="str">
        <f>VLOOKUP(C34,[1]销售对应表!C:J,5,0)</f>
        <v>客户销售二组</v>
      </c>
      <c r="G34" s="14" t="str">
        <f>VLOOKUP(C34,[1]销售对应表!C:J,6,0)</f>
        <v>客户销售一部</v>
      </c>
      <c r="I34" s="20" t="s">
        <v>1039</v>
      </c>
      <c r="J34" s="18"/>
    </row>
    <row r="35" spans="1:10" hidden="1" x14ac:dyDescent="0.3">
      <c r="A35" s="14" t="s">
        <v>1038</v>
      </c>
      <c r="B35" s="14" t="s">
        <v>1037</v>
      </c>
      <c r="C35" s="14" t="s">
        <v>140</v>
      </c>
      <c r="D35" s="14" t="s">
        <v>807</v>
      </c>
      <c r="E35" s="15">
        <v>7402.5</v>
      </c>
      <c r="F35" s="14" t="str">
        <f>VLOOKUP(C35,[1]销售对应表!C:J,5,0)</f>
        <v>客户销售二组</v>
      </c>
      <c r="G35" s="14" t="str">
        <f>VLOOKUP(C35,[1]销售对应表!C:J,6,0)</f>
        <v>客户销售一部</v>
      </c>
      <c r="I35" s="17" t="s">
        <v>1040</v>
      </c>
      <c r="J35" s="18">
        <v>10402782.469999999</v>
      </c>
    </row>
    <row r="36" spans="1:10" hidden="1" x14ac:dyDescent="0.3">
      <c r="A36" s="14" t="s">
        <v>1038</v>
      </c>
      <c r="B36" s="14" t="s">
        <v>1037</v>
      </c>
      <c r="C36" s="14" t="s">
        <v>140</v>
      </c>
      <c r="D36" s="14" t="s">
        <v>775</v>
      </c>
      <c r="E36" s="15">
        <v>984</v>
      </c>
      <c r="F36" s="14" t="str">
        <f>VLOOKUP(C36,[1]销售对应表!C:J,5,0)</f>
        <v>客户销售二组</v>
      </c>
      <c r="G36" s="14" t="str">
        <f>VLOOKUP(C36,[1]销售对应表!C:J,6,0)</f>
        <v>客户销售一部</v>
      </c>
      <c r="I36"/>
      <c r="J36"/>
    </row>
    <row r="37" spans="1:10" hidden="1" x14ac:dyDescent="0.3">
      <c r="A37" s="14" t="s">
        <v>1038</v>
      </c>
      <c r="B37" s="14" t="s">
        <v>1037</v>
      </c>
      <c r="C37" s="14" t="s">
        <v>83</v>
      </c>
      <c r="D37" s="14" t="s">
        <v>638</v>
      </c>
      <c r="E37" s="15">
        <v>900</v>
      </c>
      <c r="F37" s="14" t="str">
        <f>VLOOKUP(C37,[1]销售对应表!C:J,5,0)</f>
        <v>客户销售一组</v>
      </c>
      <c r="G37" s="14" t="str">
        <f>VLOOKUP(C37,[1]销售对应表!C:J,6,0)</f>
        <v>客户销售一部</v>
      </c>
      <c r="I37"/>
      <c r="J37"/>
    </row>
    <row r="38" spans="1:10" hidden="1" x14ac:dyDescent="0.3">
      <c r="A38" s="14" t="s">
        <v>1041</v>
      </c>
      <c r="B38" s="14" t="s">
        <v>1037</v>
      </c>
      <c r="C38" s="14" t="s">
        <v>168</v>
      </c>
      <c r="D38" s="14" t="s">
        <v>555</v>
      </c>
      <c r="E38" s="15">
        <v>5250</v>
      </c>
      <c r="F38" s="14" t="str">
        <f>VLOOKUP(C38,[1]销售对应表!C:J,5,0)</f>
        <v>客户销售一组</v>
      </c>
      <c r="G38" s="14" t="str">
        <f>VLOOKUP(C38,[1]销售对应表!C:J,6,0)</f>
        <v>客户销售一部</v>
      </c>
      <c r="I38"/>
      <c r="J38"/>
    </row>
    <row r="39" spans="1:10" hidden="1" x14ac:dyDescent="0.3">
      <c r="A39" s="14" t="s">
        <v>1041</v>
      </c>
      <c r="B39" s="14" t="s">
        <v>1037</v>
      </c>
      <c r="C39" s="14" t="s">
        <v>168</v>
      </c>
      <c r="D39" s="14" t="s">
        <v>937</v>
      </c>
      <c r="E39" s="15">
        <v>27500</v>
      </c>
      <c r="F39" s="14" t="str">
        <f>VLOOKUP(C39,[1]销售对应表!C:J,5,0)</f>
        <v>客户销售一组</v>
      </c>
      <c r="G39" s="14" t="str">
        <f>VLOOKUP(C39,[1]销售对应表!C:J,6,0)</f>
        <v>客户销售一部</v>
      </c>
      <c r="I39"/>
      <c r="J39"/>
    </row>
    <row r="40" spans="1:10" hidden="1" x14ac:dyDescent="0.3">
      <c r="A40" s="14" t="s">
        <v>1041</v>
      </c>
      <c r="B40" s="14" t="s">
        <v>1037</v>
      </c>
      <c r="C40" s="14" t="s">
        <v>51</v>
      </c>
      <c r="D40" s="14" t="s">
        <v>729</v>
      </c>
      <c r="E40" s="15">
        <v>2000</v>
      </c>
      <c r="F40" s="14" t="str">
        <f>VLOOKUP(C40,[1]销售对应表!C:J,5,0)</f>
        <v>客户销售一组</v>
      </c>
      <c r="G40" s="14" t="str">
        <f>VLOOKUP(C40,[1]销售对应表!C:J,6,0)</f>
        <v>客户销售一部</v>
      </c>
      <c r="I40"/>
      <c r="J40"/>
    </row>
    <row r="41" spans="1:10" hidden="1" x14ac:dyDescent="0.3">
      <c r="A41" s="14" t="s">
        <v>1042</v>
      </c>
      <c r="B41" s="14" t="s">
        <v>1037</v>
      </c>
      <c r="C41" s="14" t="s">
        <v>215</v>
      </c>
      <c r="D41" s="14" t="s">
        <v>293</v>
      </c>
      <c r="E41" s="15">
        <v>30000</v>
      </c>
      <c r="F41" s="14" t="str">
        <f>VLOOKUP(C41,[1]销售对应表!C:J,5,0)</f>
        <v>客户销售二组</v>
      </c>
      <c r="G41" s="14" t="str">
        <f>VLOOKUP(C41,[1]销售对应表!C:J,6,0)</f>
        <v>客户销售一部</v>
      </c>
      <c r="I41"/>
      <c r="J41"/>
    </row>
    <row r="42" spans="1:10" x14ac:dyDescent="0.3">
      <c r="A42" s="14" t="s">
        <v>1042</v>
      </c>
      <c r="B42" s="14" t="s">
        <v>1037</v>
      </c>
      <c r="C42" s="14" t="s">
        <v>47</v>
      </c>
      <c r="D42" s="14" t="s">
        <v>994</v>
      </c>
      <c r="E42" s="15">
        <v>10000</v>
      </c>
      <c r="F42" s="14" t="str">
        <f>VLOOKUP(C42,[1]销售对应表!C:J,5,0)</f>
        <v>客户销售四组</v>
      </c>
      <c r="G42" s="14" t="str">
        <f>VLOOKUP(C42,[1]销售对应表!C:J,6,0)</f>
        <v>客户销售一部</v>
      </c>
      <c r="I42"/>
      <c r="J42"/>
    </row>
    <row r="43" spans="1:10" hidden="1" x14ac:dyDescent="0.3">
      <c r="A43" s="14" t="s">
        <v>1042</v>
      </c>
      <c r="B43" s="14" t="s">
        <v>1037</v>
      </c>
      <c r="C43" s="14" t="s">
        <v>72</v>
      </c>
      <c r="D43" s="14" t="s">
        <v>71</v>
      </c>
      <c r="E43" s="15">
        <v>72000</v>
      </c>
      <c r="F43" s="14" t="str">
        <f>VLOOKUP(C43,[1]销售对应表!C:J,5,0)</f>
        <v>客户销售一组</v>
      </c>
      <c r="G43" s="14" t="str">
        <f>VLOOKUP(C43,[1]销售对应表!C:J,6,0)</f>
        <v>客户销售一部</v>
      </c>
      <c r="I43"/>
      <c r="J43"/>
    </row>
    <row r="44" spans="1:10" hidden="1" x14ac:dyDescent="0.3">
      <c r="A44" s="14" t="s">
        <v>1042</v>
      </c>
      <c r="B44" s="14" t="s">
        <v>1037</v>
      </c>
      <c r="C44" s="14" t="s">
        <v>72</v>
      </c>
      <c r="D44" s="14" t="s">
        <v>895</v>
      </c>
      <c r="E44" s="15">
        <v>28800</v>
      </c>
      <c r="F44" s="14" t="str">
        <f>VLOOKUP(C44,[1]销售对应表!C:J,5,0)</f>
        <v>客户销售一组</v>
      </c>
      <c r="G44" s="14" t="str">
        <f>VLOOKUP(C44,[1]销售对应表!C:J,6,0)</f>
        <v>客户销售一部</v>
      </c>
      <c r="I44"/>
      <c r="J44"/>
    </row>
    <row r="45" spans="1:10" hidden="1" x14ac:dyDescent="0.3">
      <c r="A45" s="14" t="s">
        <v>1042</v>
      </c>
      <c r="B45" s="14" t="s">
        <v>1037</v>
      </c>
      <c r="C45" s="14" t="s">
        <v>59</v>
      </c>
      <c r="D45" s="14" t="s">
        <v>116</v>
      </c>
      <c r="E45" s="15">
        <v>6050</v>
      </c>
      <c r="F45" s="14" t="str">
        <f>VLOOKUP(C45,[1]销售对应表!C:J,5,0)</f>
        <v>客户销售一部</v>
      </c>
      <c r="G45" s="14" t="str">
        <f>VLOOKUP(C45,[1]销售对应表!C:J,6,0)</f>
        <v>客户销售一部</v>
      </c>
      <c r="I45"/>
      <c r="J45"/>
    </row>
    <row r="46" spans="1:10" hidden="1" x14ac:dyDescent="0.3">
      <c r="A46" s="14" t="s">
        <v>1042</v>
      </c>
      <c r="B46" s="14" t="s">
        <v>1037</v>
      </c>
      <c r="C46" s="14" t="s">
        <v>59</v>
      </c>
      <c r="D46" s="14" t="s">
        <v>661</v>
      </c>
      <c r="E46" s="15">
        <v>86000</v>
      </c>
      <c r="F46" s="14" t="str">
        <f>VLOOKUP(C46,[1]销售对应表!C:J,5,0)</f>
        <v>客户销售一部</v>
      </c>
      <c r="G46" s="14" t="str">
        <f>VLOOKUP(C46,[1]销售对应表!C:J,6,0)</f>
        <v>客户销售一部</v>
      </c>
      <c r="I46"/>
      <c r="J46"/>
    </row>
    <row r="47" spans="1:10" hidden="1" x14ac:dyDescent="0.3">
      <c r="A47" s="14" t="s">
        <v>1042</v>
      </c>
      <c r="B47" s="14" t="s">
        <v>1037</v>
      </c>
      <c r="C47" s="14" t="s">
        <v>168</v>
      </c>
      <c r="D47" s="14" t="s">
        <v>859</v>
      </c>
      <c r="E47" s="15">
        <v>50000</v>
      </c>
      <c r="F47" s="14" t="str">
        <f>VLOOKUP(C47,[1]销售对应表!C:J,5,0)</f>
        <v>客户销售一组</v>
      </c>
      <c r="G47" s="14" t="str">
        <f>VLOOKUP(C47,[1]销售对应表!C:J,6,0)</f>
        <v>客户销售一部</v>
      </c>
      <c r="I47"/>
      <c r="J47"/>
    </row>
    <row r="48" spans="1:10" hidden="1" x14ac:dyDescent="0.3">
      <c r="A48" s="14" t="s">
        <v>1042</v>
      </c>
      <c r="B48" s="14" t="s">
        <v>1037</v>
      </c>
      <c r="C48" s="14" t="s">
        <v>168</v>
      </c>
      <c r="D48" s="14" t="s">
        <v>439</v>
      </c>
      <c r="E48" s="15">
        <v>40800</v>
      </c>
      <c r="F48" s="14" t="str">
        <f>VLOOKUP(C48,[1]销售对应表!C:J,5,0)</f>
        <v>客户销售一组</v>
      </c>
      <c r="G48" s="14" t="str">
        <f>VLOOKUP(C48,[1]销售对应表!C:J,6,0)</f>
        <v>客户销售一部</v>
      </c>
      <c r="I48"/>
      <c r="J48"/>
    </row>
    <row r="49" spans="1:10" hidden="1" x14ac:dyDescent="0.3">
      <c r="A49" s="14" t="s">
        <v>1042</v>
      </c>
      <c r="B49" s="14" t="s">
        <v>1037</v>
      </c>
      <c r="C49" s="14" t="s">
        <v>168</v>
      </c>
      <c r="D49" s="14" t="s">
        <v>813</v>
      </c>
      <c r="E49" s="15">
        <v>4400</v>
      </c>
      <c r="F49" s="14" t="str">
        <f>VLOOKUP(C49,[1]销售对应表!C:J,5,0)</f>
        <v>客户销售一组</v>
      </c>
      <c r="G49" s="14" t="str">
        <f>VLOOKUP(C49,[1]销售对应表!C:J,6,0)</f>
        <v>客户销售一部</v>
      </c>
      <c r="I49"/>
      <c r="J49"/>
    </row>
    <row r="50" spans="1:10" hidden="1" x14ac:dyDescent="0.3">
      <c r="A50" s="14" t="s">
        <v>1042</v>
      </c>
      <c r="B50" s="14" t="s">
        <v>1037</v>
      </c>
      <c r="C50" s="14" t="s">
        <v>168</v>
      </c>
      <c r="D50" s="14" t="s">
        <v>897</v>
      </c>
      <c r="E50" s="15">
        <v>16500</v>
      </c>
      <c r="F50" s="14" t="str">
        <f>VLOOKUP(C50,[1]销售对应表!C:J,5,0)</f>
        <v>客户销售一组</v>
      </c>
      <c r="G50" s="14" t="str">
        <f>VLOOKUP(C50,[1]销售对应表!C:J,6,0)</f>
        <v>客户销售一部</v>
      </c>
      <c r="I50"/>
      <c r="J50"/>
    </row>
    <row r="51" spans="1:10" hidden="1" x14ac:dyDescent="0.3">
      <c r="A51" s="14" t="s">
        <v>1042</v>
      </c>
      <c r="B51" s="14" t="s">
        <v>1037</v>
      </c>
      <c r="C51" s="14" t="s">
        <v>168</v>
      </c>
      <c r="D51" s="14" t="s">
        <v>833</v>
      </c>
      <c r="E51" s="15">
        <v>27000</v>
      </c>
      <c r="F51" s="14" t="str">
        <f>VLOOKUP(C51,[1]销售对应表!C:J,5,0)</f>
        <v>客户销售一组</v>
      </c>
      <c r="G51" s="14" t="str">
        <f>VLOOKUP(C51,[1]销售对应表!C:J,6,0)</f>
        <v>客户销售一部</v>
      </c>
      <c r="I51"/>
      <c r="J51"/>
    </row>
    <row r="52" spans="1:10" hidden="1" x14ac:dyDescent="0.3">
      <c r="A52" s="14" t="s">
        <v>1042</v>
      </c>
      <c r="B52" s="14" t="s">
        <v>1037</v>
      </c>
      <c r="C52" s="14" t="s">
        <v>168</v>
      </c>
      <c r="D52" s="14" t="s">
        <v>937</v>
      </c>
      <c r="E52" s="15">
        <v>7500</v>
      </c>
      <c r="F52" s="14" t="str">
        <f>VLOOKUP(C52,[1]销售对应表!C:J,5,0)</f>
        <v>客户销售一组</v>
      </c>
      <c r="G52" s="14" t="str">
        <f>VLOOKUP(C52,[1]销售对应表!C:J,6,0)</f>
        <v>客户销售一部</v>
      </c>
      <c r="I52"/>
      <c r="J52"/>
    </row>
    <row r="53" spans="1:10" hidden="1" x14ac:dyDescent="0.3">
      <c r="A53" s="14" t="s">
        <v>1042</v>
      </c>
      <c r="B53" s="14" t="s">
        <v>1037</v>
      </c>
      <c r="C53" s="14" t="s">
        <v>80</v>
      </c>
      <c r="D53" s="14" t="s">
        <v>385</v>
      </c>
      <c r="E53" s="15">
        <v>384000</v>
      </c>
      <c r="F53" s="14" t="str">
        <f>VLOOKUP(C53,[1]销售对应表!C:J,5,0)</f>
        <v>客户销售三组</v>
      </c>
      <c r="G53" s="14" t="str">
        <f>VLOOKUP(C53,[1]销售对应表!C:J,6,0)</f>
        <v>客户销售一部</v>
      </c>
      <c r="I53"/>
      <c r="J53"/>
    </row>
    <row r="54" spans="1:10" hidden="1" x14ac:dyDescent="0.3">
      <c r="A54" s="14" t="s">
        <v>1042</v>
      </c>
      <c r="B54" s="14" t="s">
        <v>1037</v>
      </c>
      <c r="C54" s="14" t="s">
        <v>51</v>
      </c>
      <c r="D54" s="14" t="s">
        <v>188</v>
      </c>
      <c r="E54" s="15">
        <v>46000</v>
      </c>
      <c r="F54" s="14" t="str">
        <f>VLOOKUP(C54,[1]销售对应表!C:J,5,0)</f>
        <v>客户销售一组</v>
      </c>
      <c r="G54" s="14" t="str">
        <f>VLOOKUP(C54,[1]销售对应表!C:J,6,0)</f>
        <v>客户销售一部</v>
      </c>
      <c r="I54"/>
      <c r="J54"/>
    </row>
    <row r="55" spans="1:10" hidden="1" x14ac:dyDescent="0.3">
      <c r="A55" s="14" t="s">
        <v>1042</v>
      </c>
      <c r="B55" s="14" t="s">
        <v>1037</v>
      </c>
      <c r="C55" s="14" t="s">
        <v>51</v>
      </c>
      <c r="D55" s="14" t="s">
        <v>129</v>
      </c>
      <c r="E55" s="15">
        <v>41000</v>
      </c>
      <c r="F55" s="14" t="str">
        <f>VLOOKUP(C55,[1]销售对应表!C:J,5,0)</f>
        <v>客户销售一组</v>
      </c>
      <c r="G55" s="14" t="str">
        <f>VLOOKUP(C55,[1]销售对应表!C:J,6,0)</f>
        <v>客户销售一部</v>
      </c>
      <c r="I55"/>
      <c r="J55"/>
    </row>
    <row r="56" spans="1:10" hidden="1" x14ac:dyDescent="0.3">
      <c r="A56" s="14" t="s">
        <v>1042</v>
      </c>
      <c r="B56" s="14" t="s">
        <v>1037</v>
      </c>
      <c r="C56" s="14" t="s">
        <v>51</v>
      </c>
      <c r="D56" s="14" t="s">
        <v>50</v>
      </c>
      <c r="E56" s="15">
        <v>1375</v>
      </c>
      <c r="F56" s="14" t="str">
        <f>VLOOKUP(C56,[1]销售对应表!C:J,5,0)</f>
        <v>客户销售一组</v>
      </c>
      <c r="G56" s="14" t="str">
        <f>VLOOKUP(C56,[1]销售对应表!C:J,6,0)</f>
        <v>客户销售一部</v>
      </c>
      <c r="I56"/>
      <c r="J56"/>
    </row>
    <row r="57" spans="1:10" hidden="1" x14ac:dyDescent="0.3">
      <c r="A57" s="14" t="s">
        <v>1042</v>
      </c>
      <c r="B57" s="14" t="s">
        <v>1037</v>
      </c>
      <c r="C57" s="14" t="s">
        <v>63</v>
      </c>
      <c r="D57" s="14" t="s">
        <v>935</v>
      </c>
      <c r="E57" s="15">
        <v>47040</v>
      </c>
      <c r="F57" s="14" t="str">
        <f>VLOOKUP(C57,[1]销售对应表!C:J,5,0)</f>
        <v>客户销售三组</v>
      </c>
      <c r="G57" s="14" t="str">
        <f>VLOOKUP(C57,[1]销售对应表!C:J,6,0)</f>
        <v>客户销售一部</v>
      </c>
      <c r="I57"/>
      <c r="J57"/>
    </row>
    <row r="58" spans="1:10" hidden="1" x14ac:dyDescent="0.3">
      <c r="A58" s="14" t="s">
        <v>1042</v>
      </c>
      <c r="B58" s="14" t="s">
        <v>1037</v>
      </c>
      <c r="C58" s="14" t="s">
        <v>93</v>
      </c>
      <c r="D58" s="14" t="s">
        <v>723</v>
      </c>
      <c r="E58" s="15">
        <v>23625</v>
      </c>
      <c r="F58" s="14" t="str">
        <f>VLOOKUP(C58,[1]销售对应表!C:J,5,0)</f>
        <v>客户销售二组</v>
      </c>
      <c r="G58" s="14" t="str">
        <f>VLOOKUP(C58,[1]销售对应表!C:J,6,0)</f>
        <v>客户销售一部</v>
      </c>
      <c r="I58"/>
      <c r="J58"/>
    </row>
    <row r="59" spans="1:10" hidden="1" x14ac:dyDescent="0.3">
      <c r="A59" s="14" t="s">
        <v>1042</v>
      </c>
      <c r="B59" s="14" t="s">
        <v>1037</v>
      </c>
      <c r="C59" s="14" t="s">
        <v>93</v>
      </c>
      <c r="D59" s="14" t="s">
        <v>496</v>
      </c>
      <c r="E59" s="15">
        <v>8100</v>
      </c>
      <c r="F59" s="14" t="str">
        <f>VLOOKUP(C59,[1]销售对应表!C:J,5,0)</f>
        <v>客户销售二组</v>
      </c>
      <c r="G59" s="14" t="str">
        <f>VLOOKUP(C59,[1]销售对应表!C:J,6,0)</f>
        <v>客户销售一部</v>
      </c>
      <c r="I59"/>
      <c r="J59"/>
    </row>
    <row r="60" spans="1:10" hidden="1" x14ac:dyDescent="0.3">
      <c r="A60" s="14" t="s">
        <v>1042</v>
      </c>
      <c r="B60" s="14" t="s">
        <v>1037</v>
      </c>
      <c r="C60" s="14" t="s">
        <v>41</v>
      </c>
      <c r="D60" s="14" t="s">
        <v>39</v>
      </c>
      <c r="E60" s="15">
        <v>365600</v>
      </c>
      <c r="F60" s="14" t="str">
        <f>VLOOKUP(C60,[1]销售对应表!C:J,5,0)</f>
        <v>客户销售二组</v>
      </c>
      <c r="G60" s="14" t="str">
        <f>VLOOKUP(C60,[1]销售对应表!C:J,6,0)</f>
        <v>客户销售一部</v>
      </c>
      <c r="I60"/>
      <c r="J60"/>
    </row>
    <row r="61" spans="1:10" hidden="1" x14ac:dyDescent="0.3">
      <c r="A61" s="14" t="s">
        <v>1043</v>
      </c>
      <c r="B61" s="14" t="s">
        <v>1037</v>
      </c>
      <c r="C61" s="14" t="s">
        <v>72</v>
      </c>
      <c r="D61" s="14" t="s">
        <v>112</v>
      </c>
      <c r="E61" s="15">
        <v>860000</v>
      </c>
      <c r="F61" s="14" t="str">
        <f>VLOOKUP(C61,[1]销售对应表!C:J,5,0)</f>
        <v>客户销售一组</v>
      </c>
      <c r="G61" s="14" t="str">
        <f>VLOOKUP(C61,[1]销售对应表!C:J,6,0)</f>
        <v>客户销售一部</v>
      </c>
      <c r="I61"/>
      <c r="J61"/>
    </row>
    <row r="62" spans="1:10" hidden="1" x14ac:dyDescent="0.3">
      <c r="A62" s="14" t="s">
        <v>1043</v>
      </c>
      <c r="B62" s="14" t="s">
        <v>1037</v>
      </c>
      <c r="C62" s="14" t="s">
        <v>168</v>
      </c>
      <c r="D62" s="14" t="s">
        <v>937</v>
      </c>
      <c r="E62" s="15">
        <v>49680</v>
      </c>
      <c r="F62" s="14" t="str">
        <f>VLOOKUP(C62,[1]销售对应表!C:J,5,0)</f>
        <v>客户销售一组</v>
      </c>
      <c r="G62" s="14" t="str">
        <f>VLOOKUP(C62,[1]销售对应表!C:J,6,0)</f>
        <v>客户销售一部</v>
      </c>
      <c r="I62"/>
      <c r="J62"/>
    </row>
    <row r="63" spans="1:10" hidden="1" x14ac:dyDescent="0.3">
      <c r="A63" s="14" t="s">
        <v>1043</v>
      </c>
      <c r="B63" s="14" t="s">
        <v>1037</v>
      </c>
      <c r="C63" s="14" t="s">
        <v>80</v>
      </c>
      <c r="D63" s="14" t="s">
        <v>98</v>
      </c>
      <c r="E63" s="15">
        <v>20280</v>
      </c>
      <c r="F63" s="14" t="str">
        <f>VLOOKUP(C63,[1]销售对应表!C:J,5,0)</f>
        <v>客户销售三组</v>
      </c>
      <c r="G63" s="14" t="str">
        <f>VLOOKUP(C63,[1]销售对应表!C:J,6,0)</f>
        <v>客户销售一部</v>
      </c>
      <c r="I63"/>
      <c r="J63"/>
    </row>
    <row r="64" spans="1:10" hidden="1" x14ac:dyDescent="0.3">
      <c r="A64" s="14" t="s">
        <v>1043</v>
      </c>
      <c r="B64" s="14" t="s">
        <v>1037</v>
      </c>
      <c r="C64" s="14" t="s">
        <v>80</v>
      </c>
      <c r="D64" s="14" t="s">
        <v>961</v>
      </c>
      <c r="E64" s="15">
        <v>254400</v>
      </c>
      <c r="F64" s="14" t="str">
        <f>VLOOKUP(C64,[1]销售对应表!C:J,5,0)</f>
        <v>客户销售三组</v>
      </c>
      <c r="G64" s="14" t="str">
        <f>VLOOKUP(C64,[1]销售对应表!C:J,6,0)</f>
        <v>客户销售一部</v>
      </c>
      <c r="I64"/>
      <c r="J64"/>
    </row>
    <row r="65" spans="1:10" hidden="1" x14ac:dyDescent="0.3">
      <c r="A65" s="14" t="s">
        <v>1044</v>
      </c>
      <c r="B65" s="14" t="s">
        <v>1037</v>
      </c>
      <c r="C65" s="14" t="s">
        <v>215</v>
      </c>
      <c r="D65" s="14" t="s">
        <v>237</v>
      </c>
      <c r="E65" s="15">
        <v>5879.92</v>
      </c>
      <c r="F65" s="14" t="str">
        <f>VLOOKUP(C65,[1]销售对应表!C:J,5,0)</f>
        <v>客户销售二组</v>
      </c>
      <c r="G65" s="14" t="str">
        <f>VLOOKUP(C65,[1]销售对应表!C:J,6,0)</f>
        <v>客户销售一部</v>
      </c>
      <c r="I65"/>
      <c r="J65"/>
    </row>
    <row r="66" spans="1:10" hidden="1" x14ac:dyDescent="0.3">
      <c r="A66" s="14" t="s">
        <v>1044</v>
      </c>
      <c r="B66" s="14" t="s">
        <v>1037</v>
      </c>
      <c r="C66" s="14" t="s">
        <v>215</v>
      </c>
      <c r="D66" s="14" t="s">
        <v>307</v>
      </c>
      <c r="E66" s="15">
        <v>187275</v>
      </c>
      <c r="F66" s="14" t="str">
        <f>VLOOKUP(C66,[1]销售对应表!C:J,5,0)</f>
        <v>客户销售二组</v>
      </c>
      <c r="G66" s="14" t="str">
        <f>VLOOKUP(C66,[1]销售对应表!C:J,6,0)</f>
        <v>客户销售一部</v>
      </c>
      <c r="I66"/>
      <c r="J66"/>
    </row>
    <row r="67" spans="1:10" hidden="1" x14ac:dyDescent="0.3">
      <c r="A67" s="14" t="s">
        <v>1044</v>
      </c>
      <c r="B67" s="14" t="s">
        <v>1037</v>
      </c>
      <c r="C67" s="14" t="s">
        <v>72</v>
      </c>
      <c r="D67" s="14" t="s">
        <v>681</v>
      </c>
      <c r="E67" s="15">
        <v>750</v>
      </c>
      <c r="F67" s="14" t="str">
        <f>VLOOKUP(C67,[1]销售对应表!C:J,5,0)</f>
        <v>客户销售一组</v>
      </c>
      <c r="G67" s="14" t="str">
        <f>VLOOKUP(C67,[1]销售对应表!C:J,6,0)</f>
        <v>客户销售一部</v>
      </c>
      <c r="I67"/>
      <c r="J67"/>
    </row>
    <row r="68" spans="1:10" hidden="1" x14ac:dyDescent="0.3">
      <c r="A68" s="14" t="s">
        <v>1044</v>
      </c>
      <c r="B68" s="14" t="s">
        <v>1037</v>
      </c>
      <c r="C68" s="14" t="s">
        <v>472</v>
      </c>
      <c r="D68" s="14" t="s">
        <v>510</v>
      </c>
      <c r="E68" s="15">
        <v>69450</v>
      </c>
      <c r="F68" s="14" t="str">
        <f>VLOOKUP(C68,[1]销售对应表!C:J,5,0)</f>
        <v>客户销售一组</v>
      </c>
      <c r="G68" s="14" t="str">
        <f>VLOOKUP(C68,[1]销售对应表!C:J,6,0)</f>
        <v>客户销售一部</v>
      </c>
      <c r="I68"/>
      <c r="J68"/>
    </row>
    <row r="69" spans="1:10" hidden="1" x14ac:dyDescent="0.3">
      <c r="A69" s="14" t="s">
        <v>1044</v>
      </c>
      <c r="B69" s="14" t="s">
        <v>1037</v>
      </c>
      <c r="C69" s="14" t="s">
        <v>168</v>
      </c>
      <c r="D69" s="14" t="s">
        <v>859</v>
      </c>
      <c r="E69" s="15">
        <v>5100</v>
      </c>
      <c r="F69" s="14" t="str">
        <f>VLOOKUP(C69,[1]销售对应表!C:J,5,0)</f>
        <v>客户销售一组</v>
      </c>
      <c r="G69" s="14" t="str">
        <f>VLOOKUP(C69,[1]销售对应表!C:J,6,0)</f>
        <v>客户销售一部</v>
      </c>
      <c r="I69"/>
      <c r="J69"/>
    </row>
    <row r="70" spans="1:10" hidden="1" x14ac:dyDescent="0.3">
      <c r="A70" s="14" t="s">
        <v>1044</v>
      </c>
      <c r="B70" s="14" t="s">
        <v>1037</v>
      </c>
      <c r="C70" s="14" t="s">
        <v>168</v>
      </c>
      <c r="D70" s="14" t="s">
        <v>897</v>
      </c>
      <c r="E70" s="15">
        <v>39060</v>
      </c>
      <c r="F70" s="14" t="str">
        <f>VLOOKUP(C70,[1]销售对应表!C:J,5,0)</f>
        <v>客户销售一组</v>
      </c>
      <c r="G70" s="14" t="str">
        <f>VLOOKUP(C70,[1]销售对应表!C:J,6,0)</f>
        <v>客户销售一部</v>
      </c>
      <c r="I70"/>
      <c r="J70"/>
    </row>
    <row r="71" spans="1:10" hidden="1" x14ac:dyDescent="0.3">
      <c r="A71" s="14" t="s">
        <v>1044</v>
      </c>
      <c r="B71" s="14" t="s">
        <v>1037</v>
      </c>
      <c r="C71" s="14" t="s">
        <v>51</v>
      </c>
      <c r="D71" s="14" t="s">
        <v>621</v>
      </c>
      <c r="E71" s="15">
        <v>660</v>
      </c>
      <c r="F71" s="14" t="str">
        <f>VLOOKUP(C71,[1]销售对应表!C:J,5,0)</f>
        <v>客户销售一组</v>
      </c>
      <c r="G71" s="14" t="str">
        <f>VLOOKUP(C71,[1]销售对应表!C:J,6,0)</f>
        <v>客户销售一部</v>
      </c>
      <c r="I71"/>
      <c r="J71"/>
    </row>
    <row r="72" spans="1:10" hidden="1" x14ac:dyDescent="0.3">
      <c r="A72" s="14" t="s">
        <v>1044</v>
      </c>
      <c r="B72" s="14" t="s">
        <v>1037</v>
      </c>
      <c r="C72" s="14" t="s">
        <v>63</v>
      </c>
      <c r="D72" s="14" t="s">
        <v>160</v>
      </c>
      <c r="E72" s="15">
        <v>675</v>
      </c>
      <c r="F72" s="14" t="str">
        <f>VLOOKUP(C72,[1]销售对应表!C:J,5,0)</f>
        <v>客户销售三组</v>
      </c>
      <c r="G72" s="14" t="str">
        <f>VLOOKUP(C72,[1]销售对应表!C:J,6,0)</f>
        <v>客户销售一部</v>
      </c>
      <c r="I72"/>
      <c r="J72"/>
    </row>
    <row r="73" spans="1:10" hidden="1" x14ac:dyDescent="0.3">
      <c r="A73" s="14" t="s">
        <v>1044</v>
      </c>
      <c r="B73" s="14" t="s">
        <v>1037</v>
      </c>
      <c r="C73" s="14" t="s">
        <v>165</v>
      </c>
      <c r="D73" s="14" t="s">
        <v>449</v>
      </c>
      <c r="E73" s="15">
        <v>1950</v>
      </c>
      <c r="F73" s="14" t="str">
        <f>VLOOKUP(C73,[1]销售对应表!C:J,5,0)</f>
        <v>客户销售三组</v>
      </c>
      <c r="G73" s="14" t="str">
        <f>VLOOKUP(C73,[1]销售对应表!C:J,6,0)</f>
        <v>客户销售一部</v>
      </c>
      <c r="I73"/>
      <c r="J73"/>
    </row>
    <row r="74" spans="1:10" hidden="1" x14ac:dyDescent="0.3">
      <c r="A74" s="14" t="s">
        <v>1044</v>
      </c>
      <c r="B74" s="14" t="s">
        <v>1037</v>
      </c>
      <c r="C74" s="14" t="s">
        <v>93</v>
      </c>
      <c r="D74" s="14" t="s">
        <v>713</v>
      </c>
      <c r="E74" s="15">
        <v>1560</v>
      </c>
      <c r="F74" s="14" t="str">
        <f>VLOOKUP(C74,[1]销售对应表!C:J,5,0)</f>
        <v>客户销售二组</v>
      </c>
      <c r="G74" s="14" t="str">
        <f>VLOOKUP(C74,[1]销售对应表!C:J,6,0)</f>
        <v>客户销售一部</v>
      </c>
      <c r="I74"/>
      <c r="J74"/>
    </row>
    <row r="75" spans="1:10" hidden="1" x14ac:dyDescent="0.3">
      <c r="A75" s="14" t="s">
        <v>1044</v>
      </c>
      <c r="B75" s="14" t="s">
        <v>1037</v>
      </c>
      <c r="C75" s="14" t="s">
        <v>93</v>
      </c>
      <c r="D75" s="14" t="s">
        <v>496</v>
      </c>
      <c r="E75" s="15">
        <v>12325</v>
      </c>
      <c r="F75" s="14" t="str">
        <f>VLOOKUP(C75,[1]销售对应表!C:J,5,0)</f>
        <v>客户销售二组</v>
      </c>
      <c r="G75" s="14" t="str">
        <f>VLOOKUP(C75,[1]销售对应表!C:J,6,0)</f>
        <v>客户销售一部</v>
      </c>
      <c r="I75"/>
      <c r="J75"/>
    </row>
    <row r="76" spans="1:10" hidden="1" x14ac:dyDescent="0.3">
      <c r="A76" s="14" t="s">
        <v>1044</v>
      </c>
      <c r="B76" s="14" t="s">
        <v>1037</v>
      </c>
      <c r="C76" s="14" t="s">
        <v>140</v>
      </c>
      <c r="D76" s="14" t="s">
        <v>154</v>
      </c>
      <c r="E76" s="15">
        <v>3000</v>
      </c>
      <c r="F76" s="14" t="str">
        <f>VLOOKUP(C76,[1]销售对应表!C:J,5,0)</f>
        <v>客户销售二组</v>
      </c>
      <c r="G76" s="14" t="str">
        <f>VLOOKUP(C76,[1]销售对应表!C:J,6,0)</f>
        <v>客户销售一部</v>
      </c>
      <c r="I76"/>
      <c r="J76"/>
    </row>
    <row r="77" spans="1:10" hidden="1" x14ac:dyDescent="0.3">
      <c r="A77" s="14" t="s">
        <v>1044</v>
      </c>
      <c r="B77" s="14" t="s">
        <v>1037</v>
      </c>
      <c r="C77" s="14" t="s">
        <v>140</v>
      </c>
      <c r="D77" s="14" t="s">
        <v>861</v>
      </c>
      <c r="E77" s="15">
        <v>9360</v>
      </c>
      <c r="F77" s="14" t="str">
        <f>VLOOKUP(C77,[1]销售对应表!C:J,5,0)</f>
        <v>客户销售二组</v>
      </c>
      <c r="G77" s="14" t="str">
        <f>VLOOKUP(C77,[1]销售对应表!C:J,6,0)</f>
        <v>客户销售一部</v>
      </c>
      <c r="I77"/>
      <c r="J77"/>
    </row>
    <row r="78" spans="1:10" hidden="1" x14ac:dyDescent="0.3">
      <c r="A78" s="14" t="s">
        <v>1044</v>
      </c>
      <c r="B78" s="14" t="s">
        <v>1037</v>
      </c>
      <c r="C78" s="14" t="s">
        <v>140</v>
      </c>
      <c r="D78" s="14" t="s">
        <v>775</v>
      </c>
      <c r="E78" s="15">
        <v>18872</v>
      </c>
      <c r="F78" s="14" t="str">
        <f>VLOOKUP(C78,[1]销售对应表!C:J,5,0)</f>
        <v>客户销售二组</v>
      </c>
      <c r="G78" s="14" t="str">
        <f>VLOOKUP(C78,[1]销售对应表!C:J,6,0)</f>
        <v>客户销售一部</v>
      </c>
      <c r="I78"/>
      <c r="J78"/>
    </row>
    <row r="79" spans="1:10" hidden="1" x14ac:dyDescent="0.3">
      <c r="A79" s="14" t="s">
        <v>1044</v>
      </c>
      <c r="B79" s="14" t="s">
        <v>1037</v>
      </c>
      <c r="C79" s="14" t="s">
        <v>140</v>
      </c>
      <c r="D79" s="14" t="s">
        <v>773</v>
      </c>
      <c r="E79" s="15">
        <v>4100</v>
      </c>
      <c r="F79" s="14" t="str">
        <f>VLOOKUP(C79,[1]销售对应表!C:J,5,0)</f>
        <v>客户销售二组</v>
      </c>
      <c r="G79" s="14" t="str">
        <f>VLOOKUP(C79,[1]销售对应表!C:J,6,0)</f>
        <v>客户销售一部</v>
      </c>
      <c r="I79"/>
      <c r="J79"/>
    </row>
    <row r="80" spans="1:10" hidden="1" x14ac:dyDescent="0.3">
      <c r="A80" s="14" t="s">
        <v>1044</v>
      </c>
      <c r="B80" s="14" t="s">
        <v>1037</v>
      </c>
      <c r="C80" s="14" t="s">
        <v>96</v>
      </c>
      <c r="D80" s="14" t="s">
        <v>791</v>
      </c>
      <c r="E80" s="15">
        <v>-900</v>
      </c>
      <c r="F80" s="14" t="str">
        <f>VLOOKUP(C80,[1]销售对应表!C:J,5,0)</f>
        <v>客户销售三组</v>
      </c>
      <c r="G80" s="14" t="str">
        <f>VLOOKUP(C80,[1]销售对应表!C:J,6,0)</f>
        <v>客户销售一部</v>
      </c>
    </row>
    <row r="81" spans="1:7" hidden="1" x14ac:dyDescent="0.3">
      <c r="A81" s="14" t="s">
        <v>1044</v>
      </c>
      <c r="B81" s="14" t="s">
        <v>1037</v>
      </c>
      <c r="C81" s="14" t="s">
        <v>96</v>
      </c>
      <c r="D81" s="14" t="s">
        <v>611</v>
      </c>
      <c r="E81" s="15">
        <v>825</v>
      </c>
      <c r="F81" s="14" t="str">
        <f>VLOOKUP(C81,[1]销售对应表!C:J,5,0)</f>
        <v>客户销售三组</v>
      </c>
      <c r="G81" s="14" t="str">
        <f>VLOOKUP(C81,[1]销售对应表!C:J,6,0)</f>
        <v>客户销售一部</v>
      </c>
    </row>
    <row r="82" spans="1:7" hidden="1" x14ac:dyDescent="0.3">
      <c r="A82" s="14" t="s">
        <v>1044</v>
      </c>
      <c r="B82" s="14" t="s">
        <v>1037</v>
      </c>
      <c r="C82" s="14" t="s">
        <v>83</v>
      </c>
      <c r="D82" s="14" t="s">
        <v>831</v>
      </c>
      <c r="E82" s="15">
        <v>16800</v>
      </c>
      <c r="F82" s="14" t="str">
        <f>VLOOKUP(C82,[1]销售对应表!C:J,5,0)</f>
        <v>客户销售一组</v>
      </c>
      <c r="G82" s="14" t="str">
        <f>VLOOKUP(C82,[1]销售对应表!C:J,6,0)</f>
        <v>客户销售一部</v>
      </c>
    </row>
    <row r="83" spans="1:7" hidden="1" x14ac:dyDescent="0.3">
      <c r="A83" s="14" t="s">
        <v>1045</v>
      </c>
      <c r="B83" s="14" t="s">
        <v>1037</v>
      </c>
      <c r="C83" s="14" t="s">
        <v>51</v>
      </c>
      <c r="D83" s="14" t="s">
        <v>341</v>
      </c>
      <c r="E83" s="15">
        <v>1080</v>
      </c>
      <c r="F83" s="14" t="str">
        <f>VLOOKUP(C83,[1]销售对应表!C:J,5,0)</f>
        <v>客户销售一组</v>
      </c>
      <c r="G83" s="14" t="str">
        <f>VLOOKUP(C83,[1]销售对应表!C:J,6,0)</f>
        <v>客户销售一部</v>
      </c>
    </row>
    <row r="84" spans="1:7" hidden="1" x14ac:dyDescent="0.3">
      <c r="A84" s="14" t="s">
        <v>1045</v>
      </c>
      <c r="B84" s="14" t="s">
        <v>1037</v>
      </c>
      <c r="C84" s="14" t="s">
        <v>140</v>
      </c>
      <c r="D84" s="14" t="s">
        <v>977</v>
      </c>
      <c r="E84" s="15">
        <v>2638.08</v>
      </c>
      <c r="F84" s="14" t="str">
        <f>VLOOKUP(C84,[1]销售对应表!C:J,5,0)</f>
        <v>客户销售二组</v>
      </c>
      <c r="G84" s="14" t="str">
        <f>VLOOKUP(C84,[1]销售对应表!C:J,6,0)</f>
        <v>客户销售一部</v>
      </c>
    </row>
    <row r="85" spans="1:7" hidden="1" x14ac:dyDescent="0.3">
      <c r="A85" s="14" t="s">
        <v>1046</v>
      </c>
      <c r="B85" s="14" t="s">
        <v>1037</v>
      </c>
      <c r="C85" s="14" t="s">
        <v>215</v>
      </c>
      <c r="D85" s="14" t="s">
        <v>575</v>
      </c>
      <c r="E85" s="15">
        <v>313160</v>
      </c>
      <c r="F85" s="14" t="str">
        <f>VLOOKUP(C85,[1]销售对应表!C:J,5,0)</f>
        <v>客户销售二组</v>
      </c>
      <c r="G85" s="14" t="str">
        <f>VLOOKUP(C85,[1]销售对应表!C:J,6,0)</f>
        <v>客户销售一部</v>
      </c>
    </row>
    <row r="86" spans="1:7" hidden="1" x14ac:dyDescent="0.3">
      <c r="A86" s="14" t="s">
        <v>1047</v>
      </c>
      <c r="B86" s="14" t="s">
        <v>1037</v>
      </c>
      <c r="C86" s="14" t="s">
        <v>72</v>
      </c>
      <c r="D86" s="14" t="s">
        <v>895</v>
      </c>
      <c r="E86" s="15">
        <v>360</v>
      </c>
      <c r="F86" s="14" t="str">
        <f>VLOOKUP(C86,[1]销售对应表!C:J,5,0)</f>
        <v>客户销售一组</v>
      </c>
      <c r="G86" s="14" t="str">
        <f>VLOOKUP(C86,[1]销售对应表!C:J,6,0)</f>
        <v>客户销售一部</v>
      </c>
    </row>
    <row r="87" spans="1:7" hidden="1" x14ac:dyDescent="0.3">
      <c r="A87" s="14" t="s">
        <v>1047</v>
      </c>
      <c r="B87" s="14" t="s">
        <v>1037</v>
      </c>
      <c r="C87" s="14" t="s">
        <v>77</v>
      </c>
      <c r="D87" s="14" t="s">
        <v>781</v>
      </c>
      <c r="E87" s="15">
        <v>810</v>
      </c>
      <c r="F87" s="14" t="str">
        <f>VLOOKUP(C87,[1]销售对应表!C:J,5,0)</f>
        <v>客户销售一组</v>
      </c>
      <c r="G87" s="14" t="str">
        <f>VLOOKUP(C87,[1]销售对应表!C:J,6,0)</f>
        <v>客户销售一部</v>
      </c>
    </row>
    <row r="88" spans="1:7" hidden="1" x14ac:dyDescent="0.3">
      <c r="A88" s="14" t="s">
        <v>1048</v>
      </c>
      <c r="B88" s="14" t="s">
        <v>1037</v>
      </c>
      <c r="C88" s="14" t="s">
        <v>472</v>
      </c>
      <c r="D88" s="14" t="s">
        <v>480</v>
      </c>
      <c r="E88" s="15">
        <v>34950</v>
      </c>
      <c r="F88" s="14" t="str">
        <f>VLOOKUP(C88,[1]销售对应表!C:J,5,0)</f>
        <v>客户销售一组</v>
      </c>
      <c r="G88" s="14" t="str">
        <f>VLOOKUP(C88,[1]销售对应表!C:J,6,0)</f>
        <v>客户销售一部</v>
      </c>
    </row>
    <row r="89" spans="1:7" hidden="1" x14ac:dyDescent="0.3">
      <c r="A89" s="14" t="s">
        <v>1048</v>
      </c>
      <c r="B89" s="14" t="s">
        <v>1037</v>
      </c>
      <c r="C89" s="14" t="s">
        <v>59</v>
      </c>
      <c r="D89" s="14" t="s">
        <v>659</v>
      </c>
      <c r="E89" s="15">
        <v>16500</v>
      </c>
      <c r="F89" s="14" t="str">
        <f>VLOOKUP(C89,[1]销售对应表!C:J,5,0)</f>
        <v>客户销售一部</v>
      </c>
      <c r="G89" s="14" t="str">
        <f>VLOOKUP(C89,[1]销售对应表!C:J,6,0)</f>
        <v>客户销售一部</v>
      </c>
    </row>
    <row r="90" spans="1:7" hidden="1" x14ac:dyDescent="0.3">
      <c r="A90" s="14" t="s">
        <v>1048</v>
      </c>
      <c r="B90" s="14" t="s">
        <v>1037</v>
      </c>
      <c r="C90" s="14" t="s">
        <v>168</v>
      </c>
      <c r="D90" s="14" t="s">
        <v>937</v>
      </c>
      <c r="E90" s="15">
        <v>46800</v>
      </c>
      <c r="F90" s="14" t="str">
        <f>VLOOKUP(C90,[1]销售对应表!C:J,5,0)</f>
        <v>客户销售一组</v>
      </c>
      <c r="G90" s="14" t="str">
        <f>VLOOKUP(C90,[1]销售对应表!C:J,6,0)</f>
        <v>客户销售一部</v>
      </c>
    </row>
    <row r="91" spans="1:7" hidden="1" x14ac:dyDescent="0.3">
      <c r="A91" s="14" t="s">
        <v>1048</v>
      </c>
      <c r="B91" s="14" t="s">
        <v>1037</v>
      </c>
      <c r="C91" s="14" t="s">
        <v>93</v>
      </c>
      <c r="D91" s="14" t="s">
        <v>496</v>
      </c>
      <c r="E91" s="15">
        <v>9230</v>
      </c>
      <c r="F91" s="14" t="str">
        <f>VLOOKUP(C91,[1]销售对应表!C:J,5,0)</f>
        <v>客户销售二组</v>
      </c>
      <c r="G91" s="14" t="str">
        <f>VLOOKUP(C91,[1]销售对应表!C:J,6,0)</f>
        <v>客户销售一部</v>
      </c>
    </row>
    <row r="92" spans="1:7" hidden="1" x14ac:dyDescent="0.3">
      <c r="A92" s="14" t="s">
        <v>1049</v>
      </c>
      <c r="B92" s="14" t="s">
        <v>1037</v>
      </c>
      <c r="C92" s="14" t="s">
        <v>168</v>
      </c>
      <c r="D92" s="14" t="s">
        <v>433</v>
      </c>
      <c r="E92" s="15">
        <v>60528</v>
      </c>
      <c r="F92" s="14" t="str">
        <f>VLOOKUP(C92,[1]销售对应表!C:J,5,0)</f>
        <v>客户销售一组</v>
      </c>
      <c r="G92" s="14" t="str">
        <f>VLOOKUP(C92,[1]销售对应表!C:J,6,0)</f>
        <v>客户销售一部</v>
      </c>
    </row>
    <row r="93" spans="1:7" hidden="1" x14ac:dyDescent="0.3">
      <c r="A93" s="14" t="s">
        <v>1049</v>
      </c>
      <c r="B93" s="14" t="s">
        <v>1037</v>
      </c>
      <c r="C93" s="14" t="s">
        <v>80</v>
      </c>
      <c r="D93" s="14" t="s">
        <v>957</v>
      </c>
      <c r="E93" s="15">
        <v>9270</v>
      </c>
      <c r="F93" s="14" t="str">
        <f>VLOOKUP(C93,[1]销售对应表!C:J,5,0)</f>
        <v>客户销售三组</v>
      </c>
      <c r="G93" s="14" t="str">
        <f>VLOOKUP(C93,[1]销售对应表!C:J,6,0)</f>
        <v>客户销售一部</v>
      </c>
    </row>
    <row r="94" spans="1:7" hidden="1" x14ac:dyDescent="0.3">
      <c r="A94" s="14" t="s">
        <v>1049</v>
      </c>
      <c r="B94" s="14" t="s">
        <v>1037</v>
      </c>
      <c r="C94" s="14" t="s">
        <v>80</v>
      </c>
      <c r="D94" s="14" t="s">
        <v>98</v>
      </c>
      <c r="E94" s="15">
        <v>11330</v>
      </c>
      <c r="F94" s="14" t="str">
        <f>VLOOKUP(C94,[1]销售对应表!C:J,5,0)</f>
        <v>客户销售三组</v>
      </c>
      <c r="G94" s="14" t="str">
        <f>VLOOKUP(C94,[1]销售对应表!C:J,6,0)</f>
        <v>客户销售一部</v>
      </c>
    </row>
    <row r="95" spans="1:7" hidden="1" x14ac:dyDescent="0.3">
      <c r="A95" s="14" t="s">
        <v>1050</v>
      </c>
      <c r="B95" s="14" t="s">
        <v>1037</v>
      </c>
      <c r="C95" s="14" t="s">
        <v>215</v>
      </c>
      <c r="D95" s="14" t="s">
        <v>307</v>
      </c>
      <c r="E95" s="15">
        <v>235824</v>
      </c>
      <c r="F95" s="14" t="str">
        <f>VLOOKUP(C95,[1]销售对应表!C:J,5,0)</f>
        <v>客户销售二组</v>
      </c>
      <c r="G95" s="14" t="str">
        <f>VLOOKUP(C95,[1]销售对应表!C:J,6,0)</f>
        <v>客户销售一部</v>
      </c>
    </row>
    <row r="96" spans="1:7" hidden="1" x14ac:dyDescent="0.3">
      <c r="A96" s="14" t="s">
        <v>1050</v>
      </c>
      <c r="B96" s="14" t="s">
        <v>1037</v>
      </c>
      <c r="C96" s="14" t="s">
        <v>72</v>
      </c>
      <c r="D96" s="14" t="s">
        <v>100</v>
      </c>
      <c r="E96" s="15">
        <v>16920</v>
      </c>
      <c r="F96" s="14" t="str">
        <f>VLOOKUP(C96,[1]销售对应表!C:J,5,0)</f>
        <v>客户销售一组</v>
      </c>
      <c r="G96" s="14" t="str">
        <f>VLOOKUP(C96,[1]销售对应表!C:J,6,0)</f>
        <v>客户销售一部</v>
      </c>
    </row>
    <row r="97" spans="1:7" hidden="1" x14ac:dyDescent="0.3">
      <c r="A97" s="14" t="s">
        <v>1050</v>
      </c>
      <c r="B97" s="14" t="s">
        <v>1037</v>
      </c>
      <c r="C97" s="14" t="s">
        <v>72</v>
      </c>
      <c r="D97" s="14" t="s">
        <v>681</v>
      </c>
      <c r="E97" s="15">
        <v>1750</v>
      </c>
      <c r="F97" s="14" t="str">
        <f>VLOOKUP(C97,[1]销售对应表!C:J,5,0)</f>
        <v>客户销售一组</v>
      </c>
      <c r="G97" s="14" t="str">
        <f>VLOOKUP(C97,[1]销售对应表!C:J,6,0)</f>
        <v>客户销售一部</v>
      </c>
    </row>
    <row r="98" spans="1:7" hidden="1" x14ac:dyDescent="0.3">
      <c r="A98" s="14" t="s">
        <v>1050</v>
      </c>
      <c r="B98" s="14" t="s">
        <v>1037</v>
      </c>
      <c r="C98" s="14" t="s">
        <v>72</v>
      </c>
      <c r="D98" s="14" t="s">
        <v>895</v>
      </c>
      <c r="E98" s="15">
        <v>4200</v>
      </c>
      <c r="F98" s="14" t="str">
        <f>VLOOKUP(C98,[1]销售对应表!C:J,5,0)</f>
        <v>客户销售一组</v>
      </c>
      <c r="G98" s="14" t="str">
        <f>VLOOKUP(C98,[1]销售对应表!C:J,6,0)</f>
        <v>客户销售一部</v>
      </c>
    </row>
    <row r="99" spans="1:7" hidden="1" x14ac:dyDescent="0.3">
      <c r="A99" s="14" t="s">
        <v>1050</v>
      </c>
      <c r="B99" s="14" t="s">
        <v>1037</v>
      </c>
      <c r="C99" s="14" t="s">
        <v>72</v>
      </c>
      <c r="D99" s="14" t="s">
        <v>597</v>
      </c>
      <c r="E99" s="15">
        <v>6480</v>
      </c>
      <c r="F99" s="14" t="str">
        <f>VLOOKUP(C99,[1]销售对应表!C:J,5,0)</f>
        <v>客户销售一组</v>
      </c>
      <c r="G99" s="14" t="str">
        <f>VLOOKUP(C99,[1]销售对应表!C:J,6,0)</f>
        <v>客户销售一部</v>
      </c>
    </row>
    <row r="100" spans="1:7" hidden="1" x14ac:dyDescent="0.3">
      <c r="A100" s="14" t="s">
        <v>1050</v>
      </c>
      <c r="B100" s="14" t="s">
        <v>1037</v>
      </c>
      <c r="C100" s="14" t="s">
        <v>472</v>
      </c>
      <c r="D100" s="14" t="s">
        <v>480</v>
      </c>
      <c r="E100" s="15">
        <v>4000</v>
      </c>
      <c r="F100" s="14" t="str">
        <f>VLOOKUP(C100,[1]销售对应表!C:J,5,0)</f>
        <v>客户销售一组</v>
      </c>
      <c r="G100" s="14" t="str">
        <f>VLOOKUP(C100,[1]销售对应表!C:J,6,0)</f>
        <v>客户销售一部</v>
      </c>
    </row>
    <row r="101" spans="1:7" hidden="1" x14ac:dyDescent="0.3">
      <c r="A101" s="14" t="s">
        <v>1050</v>
      </c>
      <c r="B101" s="14" t="s">
        <v>1037</v>
      </c>
      <c r="C101" s="14" t="s">
        <v>77</v>
      </c>
      <c r="D101" s="14" t="s">
        <v>413</v>
      </c>
      <c r="E101" s="15">
        <v>24860</v>
      </c>
      <c r="F101" s="14" t="str">
        <f>VLOOKUP(C101,[1]销售对应表!C:J,5,0)</f>
        <v>客户销售一组</v>
      </c>
      <c r="G101" s="14" t="str">
        <f>VLOOKUP(C101,[1]销售对应表!C:J,6,0)</f>
        <v>客户销售一部</v>
      </c>
    </row>
    <row r="102" spans="1:7" hidden="1" x14ac:dyDescent="0.3">
      <c r="A102" s="14" t="s">
        <v>1050</v>
      </c>
      <c r="B102" s="14" t="s">
        <v>1037</v>
      </c>
      <c r="C102" s="14" t="s">
        <v>77</v>
      </c>
      <c r="D102" s="14" t="s">
        <v>781</v>
      </c>
      <c r="E102" s="15">
        <v>3500</v>
      </c>
      <c r="F102" s="14" t="str">
        <f>VLOOKUP(C102,[1]销售对应表!C:J,5,0)</f>
        <v>客户销售一组</v>
      </c>
      <c r="G102" s="14" t="str">
        <f>VLOOKUP(C102,[1]销售对应表!C:J,6,0)</f>
        <v>客户销售一部</v>
      </c>
    </row>
    <row r="103" spans="1:7" hidden="1" x14ac:dyDescent="0.3">
      <c r="A103" s="14" t="s">
        <v>1050</v>
      </c>
      <c r="B103" s="14" t="s">
        <v>1037</v>
      </c>
      <c r="C103" s="14" t="s">
        <v>168</v>
      </c>
      <c r="D103" s="14" t="s">
        <v>502</v>
      </c>
      <c r="E103" s="15">
        <v>19250</v>
      </c>
      <c r="F103" s="14" t="str">
        <f>VLOOKUP(C103,[1]销售对应表!C:J,5,0)</f>
        <v>客户销售一组</v>
      </c>
      <c r="G103" s="14" t="str">
        <f>VLOOKUP(C103,[1]销售对应表!C:J,6,0)</f>
        <v>客户销售一部</v>
      </c>
    </row>
    <row r="104" spans="1:7" hidden="1" x14ac:dyDescent="0.3">
      <c r="A104" s="14" t="s">
        <v>1050</v>
      </c>
      <c r="B104" s="14" t="s">
        <v>1037</v>
      </c>
      <c r="C104" s="14" t="s">
        <v>168</v>
      </c>
      <c r="D104" s="14" t="s">
        <v>797</v>
      </c>
      <c r="E104" s="15">
        <v>2050</v>
      </c>
      <c r="F104" s="14" t="str">
        <f>VLOOKUP(C104,[1]销售对应表!C:J,5,0)</f>
        <v>客户销售一组</v>
      </c>
      <c r="G104" s="14" t="str">
        <f>VLOOKUP(C104,[1]销售对应表!C:J,6,0)</f>
        <v>客户销售一部</v>
      </c>
    </row>
    <row r="105" spans="1:7" hidden="1" x14ac:dyDescent="0.3">
      <c r="A105" s="14" t="s">
        <v>1050</v>
      </c>
      <c r="B105" s="14" t="s">
        <v>1037</v>
      </c>
      <c r="C105" s="14" t="s">
        <v>80</v>
      </c>
      <c r="D105" s="14" t="s">
        <v>957</v>
      </c>
      <c r="E105" s="15">
        <v>55282.97</v>
      </c>
      <c r="F105" s="14" t="str">
        <f>VLOOKUP(C105,[1]销售对应表!C:J,5,0)</f>
        <v>客户销售三组</v>
      </c>
      <c r="G105" s="14" t="str">
        <f>VLOOKUP(C105,[1]销售对应表!C:J,6,0)</f>
        <v>客户销售一部</v>
      </c>
    </row>
    <row r="106" spans="1:7" hidden="1" x14ac:dyDescent="0.3">
      <c r="A106" s="14" t="s">
        <v>1050</v>
      </c>
      <c r="B106" s="14" t="s">
        <v>1037</v>
      </c>
      <c r="C106" s="14" t="s">
        <v>80</v>
      </c>
      <c r="D106" s="14" t="s">
        <v>98</v>
      </c>
      <c r="E106" s="15">
        <v>8240</v>
      </c>
      <c r="F106" s="14" t="str">
        <f>VLOOKUP(C106,[1]销售对应表!C:J,5,0)</f>
        <v>客户销售三组</v>
      </c>
      <c r="G106" s="14" t="str">
        <f>VLOOKUP(C106,[1]销售对应表!C:J,6,0)</f>
        <v>客户销售一部</v>
      </c>
    </row>
    <row r="107" spans="1:7" hidden="1" x14ac:dyDescent="0.3">
      <c r="A107" s="14" t="s">
        <v>1050</v>
      </c>
      <c r="B107" s="14" t="s">
        <v>1037</v>
      </c>
      <c r="C107" s="14" t="s">
        <v>51</v>
      </c>
      <c r="D107" s="14" t="s">
        <v>729</v>
      </c>
      <c r="E107" s="15">
        <v>3850</v>
      </c>
      <c r="F107" s="14" t="str">
        <f>VLOOKUP(C107,[1]销售对应表!C:J,5,0)</f>
        <v>客户销售一组</v>
      </c>
      <c r="G107" s="14" t="str">
        <f>VLOOKUP(C107,[1]销售对应表!C:J,6,0)</f>
        <v>客户销售一部</v>
      </c>
    </row>
    <row r="108" spans="1:7" hidden="1" x14ac:dyDescent="0.3">
      <c r="A108" s="14" t="s">
        <v>1050</v>
      </c>
      <c r="B108" s="14" t="s">
        <v>1037</v>
      </c>
      <c r="C108" s="14" t="s">
        <v>86</v>
      </c>
      <c r="D108" s="14" t="s">
        <v>701</v>
      </c>
      <c r="E108" s="15">
        <v>319770</v>
      </c>
      <c r="F108" s="14" t="str">
        <f>VLOOKUP(C108,[1]销售对应表!C:J,5,0)</f>
        <v>客户销售二组</v>
      </c>
      <c r="G108" s="14" t="str">
        <f>VLOOKUP(C108,[1]销售对应表!C:J,6,0)</f>
        <v>客户销售一部</v>
      </c>
    </row>
    <row r="109" spans="1:7" hidden="1" x14ac:dyDescent="0.3">
      <c r="A109" s="14" t="s">
        <v>1050</v>
      </c>
      <c r="B109" s="14" t="s">
        <v>1037</v>
      </c>
      <c r="C109" s="14" t="s">
        <v>93</v>
      </c>
      <c r="D109" s="14" t="s">
        <v>723</v>
      </c>
      <c r="E109" s="15">
        <v>34960</v>
      </c>
      <c r="F109" s="14" t="str">
        <f>VLOOKUP(C109,[1]销售对应表!C:J,5,0)</f>
        <v>客户销售二组</v>
      </c>
      <c r="G109" s="14" t="str">
        <f>VLOOKUP(C109,[1]销售对应表!C:J,6,0)</f>
        <v>客户销售一部</v>
      </c>
    </row>
    <row r="110" spans="1:7" hidden="1" x14ac:dyDescent="0.3">
      <c r="A110" s="14" t="s">
        <v>1050</v>
      </c>
      <c r="B110" s="14" t="s">
        <v>1037</v>
      </c>
      <c r="C110" s="14" t="s">
        <v>140</v>
      </c>
      <c r="D110" s="14" t="s">
        <v>775</v>
      </c>
      <c r="E110" s="15">
        <v>5760</v>
      </c>
      <c r="F110" s="14" t="str">
        <f>VLOOKUP(C110,[1]销售对应表!C:J,5,0)</f>
        <v>客户销售二组</v>
      </c>
      <c r="G110" s="14" t="str">
        <f>VLOOKUP(C110,[1]销售对应表!C:J,6,0)</f>
        <v>客户销售一部</v>
      </c>
    </row>
    <row r="111" spans="1:7" hidden="1" x14ac:dyDescent="0.3">
      <c r="A111" s="14" t="s">
        <v>1050</v>
      </c>
      <c r="B111" s="14" t="s">
        <v>1037</v>
      </c>
      <c r="C111" s="14" t="s">
        <v>41</v>
      </c>
      <c r="D111" s="14" t="s">
        <v>795</v>
      </c>
      <c r="E111" s="15">
        <v>4950</v>
      </c>
      <c r="F111" s="14" t="str">
        <f>VLOOKUP(C111,[1]销售对应表!C:J,5,0)</f>
        <v>客户销售二组</v>
      </c>
      <c r="G111" s="14" t="str">
        <f>VLOOKUP(C111,[1]销售对应表!C:J,6,0)</f>
        <v>客户销售一部</v>
      </c>
    </row>
    <row r="112" spans="1:7" hidden="1" x14ac:dyDescent="0.3">
      <c r="A112" s="14" t="s">
        <v>1050</v>
      </c>
      <c r="B112" s="14" t="s">
        <v>1037</v>
      </c>
      <c r="C112" s="14" t="s">
        <v>96</v>
      </c>
      <c r="D112" s="14" t="s">
        <v>190</v>
      </c>
      <c r="E112" s="15">
        <v>13750</v>
      </c>
      <c r="F112" s="14" t="str">
        <f>VLOOKUP(C112,[1]销售对应表!C:J,5,0)</f>
        <v>客户销售三组</v>
      </c>
      <c r="G112" s="14" t="str">
        <f>VLOOKUP(C112,[1]销售对应表!C:J,6,0)</f>
        <v>客户销售一部</v>
      </c>
    </row>
    <row r="113" spans="1:7" hidden="1" x14ac:dyDescent="0.3">
      <c r="A113" s="14" t="s">
        <v>1050</v>
      </c>
      <c r="B113" s="14" t="s">
        <v>1037</v>
      </c>
      <c r="C113" s="14" t="s">
        <v>125</v>
      </c>
      <c r="D113" s="14" t="s">
        <v>463</v>
      </c>
      <c r="E113" s="15">
        <v>18000</v>
      </c>
      <c r="F113" s="14" t="str">
        <f>VLOOKUP(C113,[1]销售对应表!C:J,5,0)</f>
        <v>客户销售一部</v>
      </c>
      <c r="G113" s="14" t="str">
        <f>VLOOKUP(C113,[1]销售对应表!C:J,6,0)</f>
        <v>客户销售一部</v>
      </c>
    </row>
    <row r="114" spans="1:7" hidden="1" x14ac:dyDescent="0.3">
      <c r="A114" s="14" t="s">
        <v>1050</v>
      </c>
      <c r="B114" s="14" t="s">
        <v>1037</v>
      </c>
      <c r="C114" s="14" t="s">
        <v>83</v>
      </c>
      <c r="D114" s="14" t="s">
        <v>638</v>
      </c>
      <c r="E114" s="15">
        <v>15000</v>
      </c>
      <c r="F114" s="14" t="str">
        <f>VLOOKUP(C114,[1]销售对应表!C:J,5,0)</f>
        <v>客户销售一组</v>
      </c>
      <c r="G114" s="14" t="str">
        <f>VLOOKUP(C114,[1]销售对应表!C:J,6,0)</f>
        <v>客户销售一部</v>
      </c>
    </row>
    <row r="115" spans="1:7" hidden="1" x14ac:dyDescent="0.3">
      <c r="A115" s="14" t="s">
        <v>1050</v>
      </c>
      <c r="B115" s="14" t="s">
        <v>1037</v>
      </c>
      <c r="C115" s="14" t="s">
        <v>83</v>
      </c>
      <c r="D115" s="14" t="s">
        <v>889</v>
      </c>
      <c r="E115" s="15">
        <v>6750</v>
      </c>
      <c r="F115" s="14" t="str">
        <f>VLOOKUP(C115,[1]销售对应表!C:J,5,0)</f>
        <v>客户销售一组</v>
      </c>
      <c r="G115" s="14" t="str">
        <f>VLOOKUP(C115,[1]销售对应表!C:J,6,0)</f>
        <v>客户销售一部</v>
      </c>
    </row>
    <row r="116" spans="1:7" hidden="1" x14ac:dyDescent="0.3">
      <c r="A116" s="14" t="s">
        <v>1050</v>
      </c>
      <c r="B116" s="14" t="s">
        <v>1037</v>
      </c>
      <c r="C116" s="14" t="s">
        <v>83</v>
      </c>
      <c r="D116" s="14" t="s">
        <v>201</v>
      </c>
      <c r="E116" s="15">
        <v>1800</v>
      </c>
      <c r="F116" s="14" t="str">
        <f>VLOOKUP(C116,[1]销售对应表!C:J,5,0)</f>
        <v>客户销售一组</v>
      </c>
      <c r="G116" s="14" t="str">
        <f>VLOOKUP(C116,[1]销售对应表!C:J,6,0)</f>
        <v>客户销售一部</v>
      </c>
    </row>
    <row r="117" spans="1:7" hidden="1" x14ac:dyDescent="0.3">
      <c r="A117" s="14" t="s">
        <v>1051</v>
      </c>
      <c r="B117" s="14" t="s">
        <v>1037</v>
      </c>
      <c r="C117" s="14" t="s">
        <v>59</v>
      </c>
      <c r="D117" s="14" t="s">
        <v>741</v>
      </c>
      <c r="E117" s="15">
        <v>990</v>
      </c>
      <c r="F117" s="14" t="str">
        <f>VLOOKUP(C117,[1]销售对应表!C:J,5,0)</f>
        <v>客户销售一部</v>
      </c>
      <c r="G117" s="14" t="str">
        <f>VLOOKUP(C117,[1]销售对应表!C:J,6,0)</f>
        <v>客户销售一部</v>
      </c>
    </row>
    <row r="118" spans="1:7" hidden="1" x14ac:dyDescent="0.3">
      <c r="A118" s="14" t="s">
        <v>1051</v>
      </c>
      <c r="B118" s="14" t="s">
        <v>1037</v>
      </c>
      <c r="C118" s="14" t="s">
        <v>63</v>
      </c>
      <c r="D118" s="14" t="s">
        <v>543</v>
      </c>
      <c r="E118" s="15">
        <v>900</v>
      </c>
      <c r="F118" s="14" t="str">
        <f>VLOOKUP(C118,[1]销售对应表!C:J,5,0)</f>
        <v>客户销售三组</v>
      </c>
      <c r="G118" s="14" t="str">
        <f>VLOOKUP(C118,[1]销售对应表!C:J,6,0)</f>
        <v>客户销售一部</v>
      </c>
    </row>
    <row r="119" spans="1:7" hidden="1" x14ac:dyDescent="0.3">
      <c r="A119" s="14" t="s">
        <v>1051</v>
      </c>
      <c r="B119" s="14" t="s">
        <v>1037</v>
      </c>
      <c r="C119" s="14" t="s">
        <v>96</v>
      </c>
      <c r="D119" s="14" t="s">
        <v>427</v>
      </c>
      <c r="E119" s="15">
        <v>1710</v>
      </c>
      <c r="F119" s="14" t="str">
        <f>VLOOKUP(C119,[1]销售对应表!C:J,5,0)</f>
        <v>客户销售三组</v>
      </c>
      <c r="G119" s="14" t="str">
        <f>VLOOKUP(C119,[1]销售对应表!C:J,6,0)</f>
        <v>客户销售一部</v>
      </c>
    </row>
    <row r="120" spans="1:7" hidden="1" x14ac:dyDescent="0.3">
      <c r="A120" s="14" t="s">
        <v>1052</v>
      </c>
      <c r="B120" s="14" t="s">
        <v>1037</v>
      </c>
      <c r="C120" s="14" t="s">
        <v>59</v>
      </c>
      <c r="D120" s="14" t="s">
        <v>642</v>
      </c>
      <c r="E120" s="15">
        <v>1180</v>
      </c>
      <c r="F120" s="14" t="str">
        <f>VLOOKUP(C120,[1]销售对应表!C:J,5,0)</f>
        <v>客户销售一部</v>
      </c>
      <c r="G120" s="14" t="str">
        <f>VLOOKUP(C120,[1]销售对应表!C:J,6,0)</f>
        <v>客户销售一部</v>
      </c>
    </row>
    <row r="121" spans="1:7" hidden="1" x14ac:dyDescent="0.3">
      <c r="A121" s="14" t="s">
        <v>1052</v>
      </c>
      <c r="B121" s="14" t="s">
        <v>1037</v>
      </c>
      <c r="C121" s="14" t="s">
        <v>59</v>
      </c>
      <c r="D121" s="14" t="s">
        <v>959</v>
      </c>
      <c r="E121" s="15">
        <v>644</v>
      </c>
      <c r="F121" s="14" t="str">
        <f>VLOOKUP(C121,[1]销售对应表!C:J,5,0)</f>
        <v>客户销售一部</v>
      </c>
      <c r="G121" s="14" t="str">
        <f>VLOOKUP(C121,[1]销售对应表!C:J,6,0)</f>
        <v>客户销售一部</v>
      </c>
    </row>
    <row r="122" spans="1:7" hidden="1" x14ac:dyDescent="0.3">
      <c r="A122" s="14" t="s">
        <v>1052</v>
      </c>
      <c r="B122" s="14" t="s">
        <v>1037</v>
      </c>
      <c r="C122" s="14" t="s">
        <v>59</v>
      </c>
      <c r="D122" s="14" t="s">
        <v>523</v>
      </c>
      <c r="E122" s="15">
        <v>1500</v>
      </c>
      <c r="F122" s="14" t="str">
        <f>VLOOKUP(C122,[1]销售对应表!C:J,5,0)</f>
        <v>客户销售一部</v>
      </c>
      <c r="G122" s="14" t="str">
        <f>VLOOKUP(C122,[1]销售对应表!C:J,6,0)</f>
        <v>客户销售一部</v>
      </c>
    </row>
    <row r="123" spans="1:7" hidden="1" x14ac:dyDescent="0.3">
      <c r="A123" s="14" t="s">
        <v>1052</v>
      </c>
      <c r="B123" s="14" t="s">
        <v>1037</v>
      </c>
      <c r="C123" s="14" t="s">
        <v>168</v>
      </c>
      <c r="D123" s="14" t="s">
        <v>833</v>
      </c>
      <c r="E123" s="15">
        <v>5352</v>
      </c>
      <c r="F123" s="14" t="str">
        <f>VLOOKUP(C123,[1]销售对应表!C:J,5,0)</f>
        <v>客户销售一组</v>
      </c>
      <c r="G123" s="14" t="str">
        <f>VLOOKUP(C123,[1]销售对应表!C:J,6,0)</f>
        <v>客户销售一部</v>
      </c>
    </row>
    <row r="124" spans="1:7" hidden="1" x14ac:dyDescent="0.3">
      <c r="A124" s="14" t="s">
        <v>1052</v>
      </c>
      <c r="B124" s="14" t="s">
        <v>1037</v>
      </c>
      <c r="C124" s="14" t="s">
        <v>168</v>
      </c>
      <c r="D124" s="14" t="s">
        <v>937</v>
      </c>
      <c r="E124" s="15">
        <v>5520</v>
      </c>
      <c r="F124" s="14" t="str">
        <f>VLOOKUP(C124,[1]销售对应表!C:J,5,0)</f>
        <v>客户销售一组</v>
      </c>
      <c r="G124" s="14" t="str">
        <f>VLOOKUP(C124,[1]销售对应表!C:J,6,0)</f>
        <v>客户销售一部</v>
      </c>
    </row>
    <row r="125" spans="1:7" hidden="1" x14ac:dyDescent="0.3">
      <c r="A125" s="14" t="s">
        <v>1052</v>
      </c>
      <c r="B125" s="14" t="s">
        <v>1037</v>
      </c>
      <c r="C125" s="14" t="s">
        <v>51</v>
      </c>
      <c r="D125" s="14" t="s">
        <v>615</v>
      </c>
      <c r="E125" s="15">
        <v>1430</v>
      </c>
      <c r="F125" s="14" t="str">
        <f>VLOOKUP(C125,[1]销售对应表!C:J,5,0)</f>
        <v>客户销售一组</v>
      </c>
      <c r="G125" s="14" t="str">
        <f>VLOOKUP(C125,[1]销售对应表!C:J,6,0)</f>
        <v>客户销售一部</v>
      </c>
    </row>
    <row r="126" spans="1:7" hidden="1" x14ac:dyDescent="0.3">
      <c r="A126" s="14" t="s">
        <v>1052</v>
      </c>
      <c r="B126" s="14" t="s">
        <v>1037</v>
      </c>
      <c r="C126" s="14" t="s">
        <v>165</v>
      </c>
      <c r="D126" s="14" t="s">
        <v>905</v>
      </c>
      <c r="E126" s="15">
        <v>1200</v>
      </c>
      <c r="F126" s="14" t="str">
        <f>VLOOKUP(C126,[1]销售对应表!C:J,5,0)</f>
        <v>客户销售三组</v>
      </c>
      <c r="G126" s="14" t="str">
        <f>VLOOKUP(C126,[1]销售对应表!C:J,6,0)</f>
        <v>客户销售一部</v>
      </c>
    </row>
    <row r="127" spans="1:7" hidden="1" x14ac:dyDescent="0.3">
      <c r="A127" s="14" t="s">
        <v>1052</v>
      </c>
      <c r="B127" s="14" t="s">
        <v>1037</v>
      </c>
      <c r="C127" s="14" t="s">
        <v>93</v>
      </c>
      <c r="D127" s="14" t="s">
        <v>496</v>
      </c>
      <c r="E127" s="15">
        <v>480</v>
      </c>
      <c r="F127" s="14" t="str">
        <f>VLOOKUP(C127,[1]销售对应表!C:J,5,0)</f>
        <v>客户销售二组</v>
      </c>
      <c r="G127" s="14" t="str">
        <f>VLOOKUP(C127,[1]销售对应表!C:J,6,0)</f>
        <v>客户销售一部</v>
      </c>
    </row>
    <row r="128" spans="1:7" hidden="1" x14ac:dyDescent="0.3">
      <c r="A128" s="14" t="s">
        <v>1052</v>
      </c>
      <c r="B128" s="14" t="s">
        <v>1037</v>
      </c>
      <c r="C128" s="14" t="s">
        <v>140</v>
      </c>
      <c r="D128" s="14" t="s">
        <v>861</v>
      </c>
      <c r="E128" s="15">
        <v>2120</v>
      </c>
      <c r="F128" s="14" t="str">
        <f>VLOOKUP(C128,[1]销售对应表!C:J,5,0)</f>
        <v>客户销售二组</v>
      </c>
      <c r="G128" s="14" t="str">
        <f>VLOOKUP(C128,[1]销售对应表!C:J,6,0)</f>
        <v>客户销售一部</v>
      </c>
    </row>
    <row r="129" spans="1:7" hidden="1" x14ac:dyDescent="0.3">
      <c r="A129" s="14" t="s">
        <v>1052</v>
      </c>
      <c r="B129" s="14" t="s">
        <v>1037</v>
      </c>
      <c r="C129" s="14" t="s">
        <v>125</v>
      </c>
      <c r="D129" s="14" t="s">
        <v>451</v>
      </c>
      <c r="E129" s="15">
        <v>615</v>
      </c>
      <c r="F129" s="14" t="str">
        <f>VLOOKUP(C129,[1]销售对应表!C:J,5,0)</f>
        <v>客户销售一部</v>
      </c>
      <c r="G129" s="14" t="str">
        <f>VLOOKUP(C129,[1]销售对应表!C:J,6,0)</f>
        <v>客户销售一部</v>
      </c>
    </row>
    <row r="130" spans="1:7" hidden="1" x14ac:dyDescent="0.3">
      <c r="A130" s="14" t="s">
        <v>1053</v>
      </c>
      <c r="B130" s="14" t="s">
        <v>1037</v>
      </c>
      <c r="C130" s="14" t="s">
        <v>168</v>
      </c>
      <c r="D130" s="14" t="s">
        <v>859</v>
      </c>
      <c r="E130" s="15">
        <v>102000</v>
      </c>
      <c r="F130" s="14" t="str">
        <f>VLOOKUP(C130,[1]销售对应表!C:J,5,0)</f>
        <v>客户销售一组</v>
      </c>
      <c r="G130" s="14" t="str">
        <f>VLOOKUP(C130,[1]销售对应表!C:J,6,0)</f>
        <v>客户销售一部</v>
      </c>
    </row>
    <row r="131" spans="1:7" hidden="1" x14ac:dyDescent="0.3">
      <c r="A131" s="14" t="s">
        <v>1053</v>
      </c>
      <c r="B131" s="14" t="s">
        <v>1037</v>
      </c>
      <c r="C131" s="14" t="s">
        <v>51</v>
      </c>
      <c r="D131" s="14" t="s">
        <v>615</v>
      </c>
      <c r="E131" s="15">
        <v>43000</v>
      </c>
      <c r="F131" s="14" t="str">
        <f>VLOOKUP(C131,[1]销售对应表!C:J,5,0)</f>
        <v>客户销售一组</v>
      </c>
      <c r="G131" s="14" t="str">
        <f>VLOOKUP(C131,[1]销售对应表!C:J,6,0)</f>
        <v>客户销售一部</v>
      </c>
    </row>
    <row r="132" spans="1:7" hidden="1" x14ac:dyDescent="0.3">
      <c r="A132" s="14" t="s">
        <v>1054</v>
      </c>
      <c r="B132" s="14" t="s">
        <v>1037</v>
      </c>
      <c r="C132" s="14" t="s">
        <v>168</v>
      </c>
      <c r="D132" s="14" t="s">
        <v>433</v>
      </c>
      <c r="E132" s="15">
        <v>1950</v>
      </c>
      <c r="F132" s="14" t="str">
        <f>VLOOKUP(C132,[1]销售对应表!C:J,5,0)</f>
        <v>客户销售一组</v>
      </c>
      <c r="G132" s="14" t="str">
        <f>VLOOKUP(C132,[1]销售对应表!C:J,6,0)</f>
        <v>客户销售一部</v>
      </c>
    </row>
    <row r="133" spans="1:7" hidden="1" x14ac:dyDescent="0.3">
      <c r="A133" s="14" t="s">
        <v>1054</v>
      </c>
      <c r="B133" s="14" t="s">
        <v>1037</v>
      </c>
      <c r="C133" s="14" t="s">
        <v>165</v>
      </c>
      <c r="D133" s="14" t="s">
        <v>504</v>
      </c>
      <c r="E133" s="15">
        <v>82400</v>
      </c>
      <c r="F133" s="14" t="str">
        <f>VLOOKUP(C133,[1]销售对应表!C:J,5,0)</f>
        <v>客户销售三组</v>
      </c>
      <c r="G133" s="14" t="str">
        <f>VLOOKUP(C133,[1]销售对应表!C:J,6,0)</f>
        <v>客户销售一部</v>
      </c>
    </row>
    <row r="134" spans="1:7" hidden="1" x14ac:dyDescent="0.3">
      <c r="A134" s="14" t="s">
        <v>1054</v>
      </c>
      <c r="B134" s="14" t="s">
        <v>1037</v>
      </c>
      <c r="C134" s="14" t="s">
        <v>165</v>
      </c>
      <c r="D134" s="14" t="s">
        <v>651</v>
      </c>
      <c r="E134" s="15">
        <v>15831</v>
      </c>
      <c r="F134" s="14" t="str">
        <f>VLOOKUP(C134,[1]销售对应表!C:J,5,0)</f>
        <v>客户销售三组</v>
      </c>
      <c r="G134" s="14" t="str">
        <f>VLOOKUP(C134,[1]销售对应表!C:J,6,0)</f>
        <v>客户销售一部</v>
      </c>
    </row>
    <row r="135" spans="1:7" hidden="1" x14ac:dyDescent="0.3">
      <c r="A135" s="14" t="s">
        <v>1054</v>
      </c>
      <c r="B135" s="14" t="s">
        <v>1037</v>
      </c>
      <c r="C135" s="14" t="s">
        <v>140</v>
      </c>
      <c r="D135" s="14" t="s">
        <v>807</v>
      </c>
      <c r="E135" s="15">
        <v>3300</v>
      </c>
      <c r="F135" s="14" t="str">
        <f>VLOOKUP(C135,[1]销售对应表!C:J,5,0)</f>
        <v>客户销售二组</v>
      </c>
      <c r="G135" s="14" t="str">
        <f>VLOOKUP(C135,[1]销售对应表!C:J,6,0)</f>
        <v>客户销售一部</v>
      </c>
    </row>
    <row r="136" spans="1:7" hidden="1" x14ac:dyDescent="0.3">
      <c r="A136" s="14" t="s">
        <v>1054</v>
      </c>
      <c r="B136" s="14" t="s">
        <v>1037</v>
      </c>
      <c r="C136" s="14" t="s">
        <v>140</v>
      </c>
      <c r="D136" s="14" t="s">
        <v>775</v>
      </c>
      <c r="E136" s="15">
        <v>5720</v>
      </c>
      <c r="F136" s="14" t="str">
        <f>VLOOKUP(C136,[1]销售对应表!C:J,5,0)</f>
        <v>客户销售二组</v>
      </c>
      <c r="G136" s="14" t="str">
        <f>VLOOKUP(C136,[1]销售对应表!C:J,6,0)</f>
        <v>客户销售一部</v>
      </c>
    </row>
    <row r="137" spans="1:7" hidden="1" x14ac:dyDescent="0.3">
      <c r="A137" s="14" t="s">
        <v>1054</v>
      </c>
      <c r="B137" s="14" t="s">
        <v>1037</v>
      </c>
      <c r="C137" s="14" t="s">
        <v>96</v>
      </c>
      <c r="D137" s="14" t="s">
        <v>427</v>
      </c>
      <c r="E137" s="15">
        <v>5199</v>
      </c>
      <c r="F137" s="14" t="str">
        <f>VLOOKUP(C137,[1]销售对应表!C:J,5,0)</f>
        <v>客户销售三组</v>
      </c>
      <c r="G137" s="14" t="str">
        <f>VLOOKUP(C137,[1]销售对应表!C:J,6,0)</f>
        <v>客户销售一部</v>
      </c>
    </row>
    <row r="138" spans="1:7" hidden="1" x14ac:dyDescent="0.3">
      <c r="A138" s="14" t="s">
        <v>1055</v>
      </c>
      <c r="B138" s="14" t="s">
        <v>1037</v>
      </c>
      <c r="C138" s="14" t="s">
        <v>80</v>
      </c>
      <c r="D138" s="14" t="s">
        <v>697</v>
      </c>
      <c r="E138" s="15">
        <v>8100</v>
      </c>
      <c r="F138" s="14" t="str">
        <f>VLOOKUP(C138,[1]销售对应表!C:J,5,0)</f>
        <v>客户销售三组</v>
      </c>
      <c r="G138" s="14" t="str">
        <f>VLOOKUP(C138,[1]销售对应表!C:J,6,0)</f>
        <v>客户销售一部</v>
      </c>
    </row>
    <row r="139" spans="1:7" hidden="1" x14ac:dyDescent="0.3">
      <c r="A139" s="14" t="s">
        <v>1055</v>
      </c>
      <c r="B139" s="14" t="s">
        <v>1037</v>
      </c>
      <c r="C139" s="14" t="s">
        <v>51</v>
      </c>
      <c r="D139" s="14" t="s">
        <v>615</v>
      </c>
      <c r="E139" s="15">
        <v>18740</v>
      </c>
      <c r="F139" s="14" t="str">
        <f>VLOOKUP(C139,[1]销售对应表!C:J,5,0)</f>
        <v>客户销售一组</v>
      </c>
      <c r="G139" s="14" t="str">
        <f>VLOOKUP(C139,[1]销售对应表!C:J,6,0)</f>
        <v>客户销售一部</v>
      </c>
    </row>
    <row r="140" spans="1:7" hidden="1" x14ac:dyDescent="0.3">
      <c r="A140" s="14" t="s">
        <v>1055</v>
      </c>
      <c r="B140" s="14" t="s">
        <v>1037</v>
      </c>
      <c r="C140" s="14" t="s">
        <v>83</v>
      </c>
      <c r="D140" s="14" t="s">
        <v>855</v>
      </c>
      <c r="E140" s="15">
        <v>36605</v>
      </c>
      <c r="F140" s="14" t="str">
        <f>VLOOKUP(C140,[1]销售对应表!C:J,5,0)</f>
        <v>客户销售一组</v>
      </c>
      <c r="G140" s="14" t="str">
        <f>VLOOKUP(C140,[1]销售对应表!C:J,6,0)</f>
        <v>客户销售一部</v>
      </c>
    </row>
    <row r="141" spans="1:7" hidden="1" x14ac:dyDescent="0.3">
      <c r="A141" s="14" t="s">
        <v>1056</v>
      </c>
      <c r="B141" s="14" t="s">
        <v>1037</v>
      </c>
      <c r="C141" s="14" t="s">
        <v>51</v>
      </c>
      <c r="D141" s="14" t="s">
        <v>615</v>
      </c>
      <c r="E141" s="15">
        <v>21300</v>
      </c>
      <c r="F141" s="14" t="str">
        <f>VLOOKUP(C141,[1]销售对应表!C:J,5,0)</f>
        <v>客户销售一组</v>
      </c>
      <c r="G141" s="14" t="str">
        <f>VLOOKUP(C141,[1]销售对应表!C:J,6,0)</f>
        <v>客户销售一部</v>
      </c>
    </row>
    <row r="142" spans="1:7" hidden="1" x14ac:dyDescent="0.3">
      <c r="A142" s="14" t="s">
        <v>1057</v>
      </c>
      <c r="B142" s="14" t="s">
        <v>1037</v>
      </c>
      <c r="C142" s="14" t="s">
        <v>80</v>
      </c>
      <c r="D142" s="14" t="s">
        <v>1010</v>
      </c>
      <c r="E142" s="15">
        <v>4600</v>
      </c>
      <c r="F142" s="14" t="str">
        <f>VLOOKUP(C142,[1]销售对应表!C:J,5,0)</f>
        <v>客户销售三组</v>
      </c>
      <c r="G142" s="14" t="str">
        <f>VLOOKUP(C142,[1]销售对应表!C:J,6,0)</f>
        <v>客户销售一部</v>
      </c>
    </row>
    <row r="143" spans="1:7" hidden="1" x14ac:dyDescent="0.3">
      <c r="A143" s="14" t="s">
        <v>1057</v>
      </c>
      <c r="B143" s="14" t="s">
        <v>1037</v>
      </c>
      <c r="C143" s="14" t="s">
        <v>51</v>
      </c>
      <c r="D143" s="14" t="s">
        <v>615</v>
      </c>
      <c r="E143" s="15">
        <v>117000</v>
      </c>
      <c r="F143" s="14" t="str">
        <f>VLOOKUP(C143,[1]销售对应表!C:J,5,0)</f>
        <v>客户销售一组</v>
      </c>
      <c r="G143" s="14" t="str">
        <f>VLOOKUP(C143,[1]销售对应表!C:J,6,0)</f>
        <v>客户销售一部</v>
      </c>
    </row>
    <row r="144" spans="1:7" hidden="1" x14ac:dyDescent="0.3">
      <c r="A144" s="14" t="s">
        <v>1057</v>
      </c>
      <c r="B144" s="14" t="s">
        <v>1037</v>
      </c>
      <c r="C144" s="14" t="s">
        <v>86</v>
      </c>
      <c r="D144" s="14" t="s">
        <v>545</v>
      </c>
      <c r="E144" s="15">
        <v>4000</v>
      </c>
      <c r="F144" s="14" t="str">
        <f>VLOOKUP(C144,[1]销售对应表!C:J,5,0)</f>
        <v>客户销售二组</v>
      </c>
      <c r="G144" s="14" t="str">
        <f>VLOOKUP(C144,[1]销售对应表!C:J,6,0)</f>
        <v>客户销售一部</v>
      </c>
    </row>
    <row r="145" spans="1:7" hidden="1" x14ac:dyDescent="0.3">
      <c r="A145" s="14" t="s">
        <v>1057</v>
      </c>
      <c r="B145" s="14" t="s">
        <v>1037</v>
      </c>
      <c r="C145" s="14" t="s">
        <v>83</v>
      </c>
      <c r="D145" s="14" t="s">
        <v>889</v>
      </c>
      <c r="E145" s="15">
        <v>27540</v>
      </c>
      <c r="F145" s="14" t="str">
        <f>VLOOKUP(C145,[1]销售对应表!C:J,5,0)</f>
        <v>客户销售一组</v>
      </c>
      <c r="G145" s="14" t="str">
        <f>VLOOKUP(C145,[1]销售对应表!C:J,6,0)</f>
        <v>客户销售一部</v>
      </c>
    </row>
    <row r="146" spans="1:7" hidden="1" x14ac:dyDescent="0.3">
      <c r="A146" s="14" t="s">
        <v>1058</v>
      </c>
      <c r="B146" s="14" t="s">
        <v>1037</v>
      </c>
      <c r="C146" s="14" t="s">
        <v>63</v>
      </c>
      <c r="D146" s="14" t="s">
        <v>543</v>
      </c>
      <c r="E146" s="15">
        <v>2250</v>
      </c>
      <c r="F146" s="14" t="str">
        <f>VLOOKUP(C146,[1]销售对应表!C:J,5,0)</f>
        <v>客户销售三组</v>
      </c>
      <c r="G146" s="14" t="str">
        <f>VLOOKUP(C146,[1]销售对应表!C:J,6,0)</f>
        <v>客户销售一部</v>
      </c>
    </row>
    <row r="147" spans="1:7" hidden="1" x14ac:dyDescent="0.3">
      <c r="A147" s="14" t="s">
        <v>1059</v>
      </c>
      <c r="B147" s="14" t="s">
        <v>1037</v>
      </c>
      <c r="C147" s="14" t="s">
        <v>72</v>
      </c>
      <c r="D147" s="14" t="s">
        <v>691</v>
      </c>
      <c r="E147" s="15">
        <v>2200</v>
      </c>
      <c r="F147" s="14" t="str">
        <f>VLOOKUP(C147,[1]销售对应表!C:J,5,0)</f>
        <v>客户销售一组</v>
      </c>
      <c r="G147" s="14" t="str">
        <f>VLOOKUP(C147,[1]销售对应表!C:J,6,0)</f>
        <v>客户销售一部</v>
      </c>
    </row>
  </sheetData>
  <autoFilter ref="F1:F147">
    <filterColumn colId="0">
      <filters>
        <filter val="客户销售四组"/>
      </filters>
    </filterColumn>
  </autoFilter>
  <phoneticPr fontId="3" type="noConversion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workbookViewId="0">
      <selection activeCell="H21" sqref="H21"/>
    </sheetView>
  </sheetViews>
  <sheetFormatPr defaultRowHeight="15" x14ac:dyDescent="0.4"/>
  <cols>
    <col min="1" max="1" width="9.08203125" style="24" customWidth="1"/>
    <col min="2" max="2" width="13.33203125" style="24" customWidth="1"/>
    <col min="3" max="3" width="26" style="24" customWidth="1"/>
    <col min="4" max="4" width="10.25" style="24" customWidth="1"/>
    <col min="5" max="5" width="12.9140625" style="24" customWidth="1"/>
    <col min="6" max="8" width="9" style="24"/>
    <col min="9" max="9" width="8.25" style="30" customWidth="1"/>
    <col min="10" max="11" width="18.33203125" style="31" customWidth="1"/>
    <col min="12" max="13" width="9" style="24"/>
    <col min="14" max="14" width="8.25" style="30" customWidth="1"/>
    <col min="15" max="15" width="17.25" style="31" customWidth="1"/>
  </cols>
  <sheetData>
    <row r="1" spans="1:16" ht="14.5" x14ac:dyDescent="0.35">
      <c r="A1" s="23" t="s">
        <v>1060</v>
      </c>
      <c r="B1" s="23" t="s">
        <v>1061</v>
      </c>
      <c r="C1" s="23" t="s">
        <v>1062</v>
      </c>
      <c r="D1" s="23" t="s">
        <v>1063</v>
      </c>
      <c r="E1" s="23" t="s">
        <v>1064</v>
      </c>
      <c r="F1" s="24" t="s">
        <v>1032</v>
      </c>
      <c r="G1" s="24" t="s">
        <v>1065</v>
      </c>
      <c r="I1" s="43"/>
      <c r="J1" s="44"/>
      <c r="K1" s="45"/>
      <c r="N1" s="43"/>
      <c r="O1" s="44"/>
      <c r="P1" s="45"/>
    </row>
    <row r="2" spans="1:16" ht="14.5" x14ac:dyDescent="0.35">
      <c r="A2" s="26" t="s">
        <v>56</v>
      </c>
      <c r="B2" s="26" t="s">
        <v>22</v>
      </c>
      <c r="C2" s="26" t="s">
        <v>647</v>
      </c>
      <c r="D2" s="27">
        <v>4.4400000000000004</v>
      </c>
      <c r="E2" s="27">
        <v>0</v>
      </c>
      <c r="F2" s="24" t="str">
        <f>VLOOKUP(A2,[1]销售对应表!C:J,5,0)</f>
        <v>客户销售四组</v>
      </c>
      <c r="G2" s="24" t="str">
        <f>VLOOKUP(A2,[1]销售对应表!C:J,6,0)</f>
        <v>客户销售一部</v>
      </c>
      <c r="I2" s="46"/>
      <c r="J2" s="47"/>
      <c r="K2" s="48"/>
      <c r="N2" s="46"/>
      <c r="O2" s="47"/>
      <c r="P2" s="48"/>
    </row>
    <row r="3" spans="1:16" ht="14.5" x14ac:dyDescent="0.35">
      <c r="A3" s="28" t="s">
        <v>56</v>
      </c>
      <c r="B3" s="28" t="s">
        <v>22</v>
      </c>
      <c r="C3" s="28" t="s">
        <v>178</v>
      </c>
      <c r="D3" s="29">
        <v>3.2559999999999998</v>
      </c>
      <c r="E3" s="29">
        <v>0</v>
      </c>
      <c r="F3" s="24" t="str">
        <f>VLOOKUP(A3,[1]销售对应表!C:J,5,0)</f>
        <v>客户销售四组</v>
      </c>
      <c r="G3" s="24" t="str">
        <f>VLOOKUP(A3,[1]销售对应表!C:J,6,0)</f>
        <v>客户销售一部</v>
      </c>
      <c r="I3" s="46"/>
      <c r="J3" s="47"/>
      <c r="K3" s="48"/>
      <c r="N3" s="46"/>
      <c r="O3" s="47"/>
      <c r="P3" s="48"/>
    </row>
    <row r="4" spans="1:16" ht="14.5" x14ac:dyDescent="0.35">
      <c r="A4" s="26" t="s">
        <v>56</v>
      </c>
      <c r="B4" s="26" t="s">
        <v>19</v>
      </c>
      <c r="C4" s="26" t="s">
        <v>647</v>
      </c>
      <c r="D4" s="27">
        <v>0.39200000000000002</v>
      </c>
      <c r="E4" s="27">
        <v>0</v>
      </c>
      <c r="F4" s="24" t="str">
        <f>VLOOKUP(A4,[1]销售对应表!C:J,5,0)</f>
        <v>客户销售四组</v>
      </c>
      <c r="G4" s="24" t="str">
        <f>VLOOKUP(A4,[1]销售对应表!C:J,6,0)</f>
        <v>客户销售一部</v>
      </c>
      <c r="I4" s="46"/>
      <c r="J4" s="47"/>
      <c r="K4" s="48"/>
      <c r="N4" s="46"/>
      <c r="O4" s="47"/>
      <c r="P4" s="48"/>
    </row>
    <row r="5" spans="1:16" ht="14.5" x14ac:dyDescent="0.35">
      <c r="A5" s="26" t="s">
        <v>56</v>
      </c>
      <c r="B5" s="26" t="s">
        <v>19</v>
      </c>
      <c r="C5" s="28" t="s">
        <v>108</v>
      </c>
      <c r="D5" s="29">
        <v>1.5760000000000001</v>
      </c>
      <c r="E5" s="29">
        <v>0</v>
      </c>
      <c r="F5" s="24" t="str">
        <f>VLOOKUP(A5,[1]销售对应表!C:J,5,0)</f>
        <v>客户销售四组</v>
      </c>
      <c r="G5" s="24" t="str">
        <f>VLOOKUP(A5,[1]销售对应表!C:J,6,0)</f>
        <v>客户销售一部</v>
      </c>
      <c r="I5" s="46"/>
      <c r="J5" s="47"/>
      <c r="K5" s="48"/>
      <c r="N5" s="46"/>
      <c r="O5" s="47"/>
      <c r="P5" s="48"/>
    </row>
    <row r="6" spans="1:16" ht="14.5" x14ac:dyDescent="0.35">
      <c r="A6" s="26" t="s">
        <v>56</v>
      </c>
      <c r="B6" s="26" t="s">
        <v>19</v>
      </c>
      <c r="C6" s="26" t="s">
        <v>546</v>
      </c>
      <c r="D6" s="27">
        <v>0.82879999999999998</v>
      </c>
      <c r="E6" s="27">
        <v>0</v>
      </c>
      <c r="F6" s="24" t="str">
        <f>VLOOKUP(A6,[1]销售对应表!C:J,5,0)</f>
        <v>客户销售四组</v>
      </c>
      <c r="G6" s="24" t="str">
        <f>VLOOKUP(A6,[1]销售对应表!C:J,6,0)</f>
        <v>客户销售一部</v>
      </c>
      <c r="I6" s="46"/>
      <c r="J6" s="47"/>
      <c r="K6" s="48"/>
      <c r="N6" s="46"/>
      <c r="O6" s="47"/>
      <c r="P6" s="48"/>
    </row>
    <row r="7" spans="1:16" ht="14.5" x14ac:dyDescent="0.35">
      <c r="A7" s="26" t="s">
        <v>56</v>
      </c>
      <c r="B7" s="26" t="s">
        <v>1067</v>
      </c>
      <c r="C7" s="28" t="s">
        <v>632</v>
      </c>
      <c r="D7" s="29">
        <v>0.58799999999999997</v>
      </c>
      <c r="E7" s="29">
        <v>0</v>
      </c>
      <c r="F7" s="24" t="str">
        <f>VLOOKUP(A7,[1]销售对应表!C:J,5,0)</f>
        <v>客户销售四组</v>
      </c>
      <c r="G7" s="24" t="str">
        <f>VLOOKUP(A7,[1]销售对应表!C:J,6,0)</f>
        <v>客户销售一部</v>
      </c>
      <c r="I7" s="46"/>
      <c r="J7" s="47"/>
      <c r="K7" s="48"/>
      <c r="N7" s="46"/>
      <c r="O7" s="47"/>
      <c r="P7" s="48"/>
    </row>
    <row r="8" spans="1:16" ht="14.5" x14ac:dyDescent="0.35">
      <c r="A8" s="26" t="s">
        <v>56</v>
      </c>
      <c r="B8" s="26" t="s">
        <v>1068</v>
      </c>
      <c r="C8" s="26" t="s">
        <v>405</v>
      </c>
      <c r="D8" s="27">
        <v>0</v>
      </c>
      <c r="E8" s="27">
        <v>0.65</v>
      </c>
      <c r="F8" s="24" t="str">
        <f>VLOOKUP(A8,[1]销售对应表!C:J,5,0)</f>
        <v>客户销售四组</v>
      </c>
      <c r="G8" s="24" t="str">
        <f>VLOOKUP(A8,[1]销售对应表!C:J,6,0)</f>
        <v>客户销售一部</v>
      </c>
      <c r="I8" s="46"/>
      <c r="J8" s="47"/>
      <c r="K8" s="48"/>
      <c r="N8" s="46"/>
      <c r="O8" s="47"/>
      <c r="P8" s="48"/>
    </row>
    <row r="9" spans="1:16" ht="14.5" x14ac:dyDescent="0.35">
      <c r="A9" s="28" t="s">
        <v>56</v>
      </c>
      <c r="B9" s="28" t="s">
        <v>1068</v>
      </c>
      <c r="C9" s="28" t="s">
        <v>632</v>
      </c>
      <c r="D9" s="29">
        <v>1.3</v>
      </c>
      <c r="E9" s="29">
        <v>6.4260000000000002</v>
      </c>
      <c r="F9" s="24" t="str">
        <f>VLOOKUP(A9,[1]销售对应表!C:J,5,0)</f>
        <v>客户销售四组</v>
      </c>
      <c r="G9" s="24" t="str">
        <f>VLOOKUP(A9,[1]销售对应表!C:J,6,0)</f>
        <v>客户销售一部</v>
      </c>
      <c r="I9" s="46"/>
      <c r="J9" s="47"/>
      <c r="K9" s="48"/>
      <c r="N9" s="46"/>
      <c r="O9" s="47"/>
      <c r="P9" s="48"/>
    </row>
    <row r="10" spans="1:16" ht="14.5" x14ac:dyDescent="0.35">
      <c r="A10" s="28" t="s">
        <v>56</v>
      </c>
      <c r="B10" s="28" t="s">
        <v>1068</v>
      </c>
      <c r="C10" s="26" t="s">
        <v>513</v>
      </c>
      <c r="D10" s="27">
        <v>0</v>
      </c>
      <c r="E10" s="27">
        <v>0.81</v>
      </c>
      <c r="F10" s="24" t="str">
        <f>VLOOKUP(A10,[1]销售对应表!C:J,5,0)</f>
        <v>客户销售四组</v>
      </c>
      <c r="G10" s="24" t="str">
        <f>VLOOKUP(A10,[1]销售对应表!C:J,6,0)</f>
        <v>客户销售一部</v>
      </c>
      <c r="I10" s="46"/>
      <c r="J10" s="47"/>
      <c r="K10" s="48"/>
      <c r="N10" s="46"/>
      <c r="O10" s="47"/>
      <c r="P10" s="48"/>
    </row>
    <row r="11" spans="1:16" ht="14.5" x14ac:dyDescent="0.35">
      <c r="A11" s="28" t="s">
        <v>56</v>
      </c>
      <c r="B11" s="28" t="s">
        <v>1069</v>
      </c>
      <c r="C11" s="28" t="s">
        <v>632</v>
      </c>
      <c r="D11" s="29">
        <v>0</v>
      </c>
      <c r="E11" s="29">
        <v>0.61</v>
      </c>
      <c r="F11" s="24" t="str">
        <f>VLOOKUP(A11,[1]销售对应表!C:J,5,0)</f>
        <v>客户销售四组</v>
      </c>
      <c r="G11" s="24" t="str">
        <f>VLOOKUP(A11,[1]销售对应表!C:J,6,0)</f>
        <v>客户销售一部</v>
      </c>
      <c r="I11" s="46"/>
      <c r="J11" s="47"/>
      <c r="K11" s="48"/>
      <c r="N11" s="46"/>
      <c r="O11" s="47"/>
      <c r="P11" s="48"/>
    </row>
    <row r="12" spans="1:16" ht="14.5" x14ac:dyDescent="0.35">
      <c r="A12" s="26" t="s">
        <v>56</v>
      </c>
      <c r="B12" s="26" t="s">
        <v>11</v>
      </c>
      <c r="C12" s="26" t="s">
        <v>405</v>
      </c>
      <c r="D12" s="27">
        <v>2.4049999999999998E-2</v>
      </c>
      <c r="E12" s="27">
        <v>0</v>
      </c>
      <c r="F12" s="24" t="str">
        <f>VLOOKUP(A12,[1]销售对应表!C:J,5,0)</f>
        <v>客户销售四组</v>
      </c>
      <c r="G12" s="24" t="str">
        <f>VLOOKUP(A12,[1]销售对应表!C:J,6,0)</f>
        <v>客户销售一部</v>
      </c>
      <c r="I12" s="46"/>
      <c r="J12" s="47"/>
      <c r="K12" s="48"/>
      <c r="N12" s="46"/>
      <c r="O12" s="47"/>
      <c r="P12" s="48"/>
    </row>
    <row r="13" spans="1:16" x14ac:dyDescent="0.4">
      <c r="N13"/>
      <c r="O13"/>
    </row>
    <row r="14" spans="1:16" x14ac:dyDescent="0.4">
      <c r="N14"/>
      <c r="O14"/>
    </row>
    <row r="15" spans="1:16" x14ac:dyDescent="0.4">
      <c r="N15"/>
      <c r="O15"/>
    </row>
    <row r="16" spans="1:16" x14ac:dyDescent="0.4">
      <c r="N16"/>
      <c r="O16"/>
    </row>
    <row r="17" spans="14:15" x14ac:dyDescent="0.4">
      <c r="N17"/>
      <c r="O17"/>
    </row>
    <row r="18" spans="14:15" x14ac:dyDescent="0.4">
      <c r="N18"/>
      <c r="O18"/>
    </row>
    <row r="19" spans="14:15" x14ac:dyDescent="0.4">
      <c r="N19"/>
      <c r="O19"/>
    </row>
    <row r="20" spans="14:15" x14ac:dyDescent="0.4">
      <c r="N20"/>
      <c r="O20"/>
    </row>
    <row r="21" spans="14:15" x14ac:dyDescent="0.4">
      <c r="N21"/>
      <c r="O21"/>
    </row>
    <row r="22" spans="14:15" x14ac:dyDescent="0.4">
      <c r="N22"/>
      <c r="O22"/>
    </row>
    <row r="23" spans="14:15" x14ac:dyDescent="0.4">
      <c r="N23"/>
      <c r="O23"/>
    </row>
    <row r="24" spans="14:15" x14ac:dyDescent="0.4">
      <c r="N24"/>
      <c r="O24"/>
    </row>
    <row r="25" spans="14:15" x14ac:dyDescent="0.4">
      <c r="N25"/>
      <c r="O25"/>
    </row>
    <row r="26" spans="14:15" x14ac:dyDescent="0.4">
      <c r="N26"/>
      <c r="O26"/>
    </row>
    <row r="27" spans="14:15" x14ac:dyDescent="0.4">
      <c r="N27"/>
      <c r="O27"/>
    </row>
    <row r="28" spans="14:15" x14ac:dyDescent="0.4">
      <c r="N28"/>
      <c r="O28"/>
    </row>
    <row r="29" spans="14:15" x14ac:dyDescent="0.4">
      <c r="N29"/>
      <c r="O29"/>
    </row>
    <row r="30" spans="14:15" x14ac:dyDescent="0.4">
      <c r="N30"/>
      <c r="O30"/>
    </row>
    <row r="31" spans="14:15" x14ac:dyDescent="0.4">
      <c r="N31"/>
      <c r="O31"/>
    </row>
    <row r="32" spans="14:15" x14ac:dyDescent="0.4">
      <c r="N32"/>
      <c r="O32"/>
    </row>
    <row r="33" spans="14:15" x14ac:dyDescent="0.4">
      <c r="N33"/>
      <c r="O33"/>
    </row>
    <row r="34" spans="14:15" x14ac:dyDescent="0.4">
      <c r="N34"/>
      <c r="O34"/>
    </row>
    <row r="35" spans="14:15" x14ac:dyDescent="0.4">
      <c r="N35"/>
      <c r="O35"/>
    </row>
    <row r="36" spans="14:15" x14ac:dyDescent="0.4">
      <c r="N36"/>
      <c r="O36"/>
    </row>
    <row r="37" spans="14:15" x14ac:dyDescent="0.4">
      <c r="N37"/>
      <c r="O37"/>
    </row>
    <row r="38" spans="14:15" x14ac:dyDescent="0.4">
      <c r="N38"/>
      <c r="O38"/>
    </row>
    <row r="39" spans="14:15" x14ac:dyDescent="0.4">
      <c r="N39"/>
      <c r="O39"/>
    </row>
    <row r="40" spans="14:15" x14ac:dyDescent="0.4">
      <c r="N40"/>
      <c r="O40"/>
    </row>
    <row r="41" spans="14:15" x14ac:dyDescent="0.4">
      <c r="N41"/>
      <c r="O41"/>
    </row>
    <row r="42" spans="14:15" x14ac:dyDescent="0.4">
      <c r="N42"/>
      <c r="O42"/>
    </row>
    <row r="43" spans="14:15" x14ac:dyDescent="0.4">
      <c r="N43"/>
      <c r="O43"/>
    </row>
    <row r="44" spans="14:15" x14ac:dyDescent="0.4">
      <c r="N44"/>
      <c r="O44"/>
    </row>
    <row r="45" spans="14:15" x14ac:dyDescent="0.4">
      <c r="N45"/>
      <c r="O45"/>
    </row>
    <row r="46" spans="14:15" x14ac:dyDescent="0.4">
      <c r="N46"/>
      <c r="O46"/>
    </row>
    <row r="47" spans="14:15" x14ac:dyDescent="0.4">
      <c r="N47"/>
      <c r="O47"/>
    </row>
    <row r="48" spans="14:15" x14ac:dyDescent="0.4">
      <c r="N48"/>
      <c r="O48"/>
    </row>
    <row r="49" spans="14:15" x14ac:dyDescent="0.4">
      <c r="N49"/>
      <c r="O49"/>
    </row>
    <row r="50" spans="14:15" x14ac:dyDescent="0.4">
      <c r="N50"/>
      <c r="O50"/>
    </row>
    <row r="51" spans="14:15" x14ac:dyDescent="0.4">
      <c r="N51"/>
      <c r="O51"/>
    </row>
    <row r="52" spans="14:15" x14ac:dyDescent="0.4">
      <c r="N52"/>
      <c r="O52"/>
    </row>
    <row r="53" spans="14:15" x14ac:dyDescent="0.4">
      <c r="N53"/>
      <c r="O53"/>
    </row>
    <row r="54" spans="14:15" x14ac:dyDescent="0.4">
      <c r="N54"/>
      <c r="O54"/>
    </row>
    <row r="55" spans="14:15" x14ac:dyDescent="0.4">
      <c r="N55"/>
      <c r="O55"/>
    </row>
    <row r="56" spans="14:15" x14ac:dyDescent="0.4">
      <c r="N56"/>
      <c r="O56"/>
    </row>
    <row r="57" spans="14:15" x14ac:dyDescent="0.4">
      <c r="N57"/>
      <c r="O57"/>
    </row>
    <row r="58" spans="14:15" x14ac:dyDescent="0.4">
      <c r="N58"/>
      <c r="O58"/>
    </row>
    <row r="59" spans="14:15" x14ac:dyDescent="0.4">
      <c r="N59"/>
      <c r="O59"/>
    </row>
    <row r="60" spans="14:15" x14ac:dyDescent="0.4">
      <c r="N60"/>
      <c r="O60"/>
    </row>
    <row r="61" spans="14:15" x14ac:dyDescent="0.4">
      <c r="N61"/>
      <c r="O61"/>
    </row>
    <row r="62" spans="14:15" x14ac:dyDescent="0.4">
      <c r="N62"/>
      <c r="O62"/>
    </row>
    <row r="63" spans="14:15" x14ac:dyDescent="0.4">
      <c r="N63"/>
      <c r="O63"/>
    </row>
    <row r="64" spans="14:15" x14ac:dyDescent="0.4">
      <c r="N64"/>
      <c r="O64"/>
    </row>
    <row r="65" spans="14:15" x14ac:dyDescent="0.4">
      <c r="N65"/>
      <c r="O65"/>
    </row>
    <row r="66" spans="14:15" x14ac:dyDescent="0.4">
      <c r="N66"/>
      <c r="O66"/>
    </row>
    <row r="67" spans="14:15" x14ac:dyDescent="0.4">
      <c r="N67"/>
      <c r="O67"/>
    </row>
    <row r="68" spans="14:15" x14ac:dyDescent="0.4">
      <c r="N68"/>
      <c r="O68"/>
    </row>
    <row r="69" spans="14:15" x14ac:dyDescent="0.4">
      <c r="N69"/>
      <c r="O69"/>
    </row>
    <row r="70" spans="14:15" x14ac:dyDescent="0.4">
      <c r="N70"/>
      <c r="O70"/>
    </row>
    <row r="71" spans="14:15" x14ac:dyDescent="0.4">
      <c r="N71"/>
      <c r="O71"/>
    </row>
    <row r="72" spans="14:15" x14ac:dyDescent="0.4">
      <c r="N72"/>
      <c r="O72"/>
    </row>
    <row r="73" spans="14:15" x14ac:dyDescent="0.4">
      <c r="N73"/>
      <c r="O73"/>
    </row>
    <row r="74" spans="14:15" x14ac:dyDescent="0.4">
      <c r="N74"/>
      <c r="O74"/>
    </row>
    <row r="75" spans="14:15" x14ac:dyDescent="0.4">
      <c r="N75"/>
      <c r="O75"/>
    </row>
    <row r="76" spans="14:15" x14ac:dyDescent="0.4">
      <c r="N76"/>
      <c r="O76"/>
    </row>
    <row r="77" spans="14:15" x14ac:dyDescent="0.4">
      <c r="N77"/>
      <c r="O77"/>
    </row>
    <row r="78" spans="14:15" x14ac:dyDescent="0.4">
      <c r="N78"/>
      <c r="O78"/>
    </row>
    <row r="79" spans="14:15" x14ac:dyDescent="0.4">
      <c r="N79"/>
      <c r="O79"/>
    </row>
    <row r="80" spans="14:15" x14ac:dyDescent="0.4">
      <c r="N80"/>
      <c r="O80"/>
    </row>
    <row r="81" spans="14:15" x14ac:dyDescent="0.4">
      <c r="N81"/>
      <c r="O81"/>
    </row>
    <row r="82" spans="14:15" x14ac:dyDescent="0.4">
      <c r="N82"/>
      <c r="O82"/>
    </row>
    <row r="83" spans="14:15" x14ac:dyDescent="0.4">
      <c r="N83"/>
      <c r="O83"/>
    </row>
    <row r="84" spans="14:15" x14ac:dyDescent="0.4">
      <c r="N84"/>
      <c r="O84"/>
    </row>
    <row r="85" spans="14:15" x14ac:dyDescent="0.4">
      <c r="N85"/>
      <c r="O85"/>
    </row>
    <row r="86" spans="14:15" x14ac:dyDescent="0.4">
      <c r="N86"/>
      <c r="O86"/>
    </row>
    <row r="87" spans="14:15" x14ac:dyDescent="0.4">
      <c r="N87"/>
      <c r="O87"/>
    </row>
    <row r="88" spans="14:15" x14ac:dyDescent="0.4">
      <c r="N88"/>
      <c r="O88"/>
    </row>
    <row r="89" spans="14:15" x14ac:dyDescent="0.4">
      <c r="N89"/>
      <c r="O89"/>
    </row>
    <row r="90" spans="14:15" x14ac:dyDescent="0.4">
      <c r="N90"/>
      <c r="O90"/>
    </row>
    <row r="91" spans="14:15" x14ac:dyDescent="0.4">
      <c r="N91"/>
      <c r="O91"/>
    </row>
    <row r="92" spans="14:15" x14ac:dyDescent="0.4">
      <c r="N92"/>
      <c r="O92"/>
    </row>
    <row r="93" spans="14:15" x14ac:dyDescent="0.4">
      <c r="N93"/>
      <c r="O93"/>
    </row>
    <row r="94" spans="14:15" x14ac:dyDescent="0.4">
      <c r="N94"/>
      <c r="O94"/>
    </row>
    <row r="95" spans="14:15" x14ac:dyDescent="0.4">
      <c r="N95"/>
      <c r="O95"/>
    </row>
    <row r="96" spans="14:15" x14ac:dyDescent="0.4">
      <c r="N96"/>
      <c r="O96"/>
    </row>
    <row r="97" spans="14:15" x14ac:dyDescent="0.4">
      <c r="N97"/>
      <c r="O97"/>
    </row>
    <row r="98" spans="14:15" x14ac:dyDescent="0.4">
      <c r="N98"/>
      <c r="O98"/>
    </row>
    <row r="99" spans="14:15" x14ac:dyDescent="0.4">
      <c r="N99"/>
      <c r="O99"/>
    </row>
    <row r="100" spans="14:15" x14ac:dyDescent="0.4">
      <c r="N100"/>
      <c r="O100"/>
    </row>
    <row r="101" spans="14:15" x14ac:dyDescent="0.4">
      <c r="N101"/>
      <c r="O101"/>
    </row>
    <row r="102" spans="14:15" x14ac:dyDescent="0.4">
      <c r="N102"/>
      <c r="O102"/>
    </row>
    <row r="103" spans="14:15" x14ac:dyDescent="0.4">
      <c r="N103"/>
      <c r="O103"/>
    </row>
    <row r="104" spans="14:15" x14ac:dyDescent="0.4">
      <c r="N104"/>
      <c r="O104"/>
    </row>
    <row r="105" spans="14:15" x14ac:dyDescent="0.4">
      <c r="N105"/>
      <c r="O105"/>
    </row>
    <row r="106" spans="14:15" x14ac:dyDescent="0.4">
      <c r="N106"/>
      <c r="O106"/>
    </row>
    <row r="107" spans="14:15" x14ac:dyDescent="0.4">
      <c r="N107"/>
      <c r="O107"/>
    </row>
    <row r="108" spans="14:15" x14ac:dyDescent="0.4">
      <c r="N108"/>
      <c r="O108"/>
    </row>
    <row r="109" spans="14:15" x14ac:dyDescent="0.4">
      <c r="N109"/>
      <c r="O109"/>
    </row>
    <row r="110" spans="14:15" x14ac:dyDescent="0.4">
      <c r="N110"/>
      <c r="O110"/>
    </row>
    <row r="111" spans="14:15" x14ac:dyDescent="0.4">
      <c r="N111"/>
      <c r="O111"/>
    </row>
    <row r="112" spans="14:15" x14ac:dyDescent="0.4">
      <c r="N112"/>
      <c r="O112"/>
    </row>
    <row r="113" spans="14:15" x14ac:dyDescent="0.4">
      <c r="N113"/>
      <c r="O113"/>
    </row>
    <row r="114" spans="14:15" x14ac:dyDescent="0.4">
      <c r="N114"/>
      <c r="O114"/>
    </row>
    <row r="115" spans="14:15" x14ac:dyDescent="0.4">
      <c r="N115"/>
      <c r="O115"/>
    </row>
    <row r="116" spans="14:15" x14ac:dyDescent="0.4">
      <c r="N116"/>
      <c r="O116"/>
    </row>
    <row r="117" spans="14:15" x14ac:dyDescent="0.4">
      <c r="N117"/>
      <c r="O117"/>
    </row>
    <row r="118" spans="14:15" x14ac:dyDescent="0.4">
      <c r="N118"/>
      <c r="O118"/>
    </row>
    <row r="119" spans="14:15" x14ac:dyDescent="0.4">
      <c r="N119"/>
      <c r="O119"/>
    </row>
    <row r="120" spans="14:15" x14ac:dyDescent="0.4">
      <c r="N120"/>
      <c r="O120"/>
    </row>
    <row r="121" spans="14:15" x14ac:dyDescent="0.4">
      <c r="N121"/>
      <c r="O121"/>
    </row>
    <row r="122" spans="14:15" x14ac:dyDescent="0.4">
      <c r="N122"/>
      <c r="O122"/>
    </row>
    <row r="123" spans="14:15" x14ac:dyDescent="0.4">
      <c r="N123"/>
      <c r="O123"/>
    </row>
    <row r="124" spans="14:15" x14ac:dyDescent="0.4">
      <c r="N124"/>
      <c r="O124"/>
    </row>
    <row r="125" spans="14:15" x14ac:dyDescent="0.4">
      <c r="N125"/>
      <c r="O125"/>
    </row>
    <row r="126" spans="14:15" x14ac:dyDescent="0.4">
      <c r="N126"/>
      <c r="O126"/>
    </row>
    <row r="127" spans="14:15" x14ac:dyDescent="0.4">
      <c r="N127"/>
      <c r="O127"/>
    </row>
    <row r="128" spans="14:15" x14ac:dyDescent="0.4">
      <c r="N128"/>
      <c r="O128"/>
    </row>
    <row r="129" spans="14:15" x14ac:dyDescent="0.4">
      <c r="N129"/>
      <c r="O129"/>
    </row>
    <row r="130" spans="14:15" x14ac:dyDescent="0.4">
      <c r="N130"/>
      <c r="O130"/>
    </row>
    <row r="131" spans="14:15" x14ac:dyDescent="0.4">
      <c r="N131"/>
      <c r="O131"/>
    </row>
    <row r="132" spans="14:15" x14ac:dyDescent="0.4">
      <c r="N132"/>
      <c r="O132"/>
    </row>
    <row r="133" spans="14:15" x14ac:dyDescent="0.4">
      <c r="N133"/>
      <c r="O133"/>
    </row>
    <row r="134" spans="14:15" x14ac:dyDescent="0.4">
      <c r="N134"/>
      <c r="O134"/>
    </row>
    <row r="135" spans="14:15" x14ac:dyDescent="0.4">
      <c r="N135"/>
      <c r="O135"/>
    </row>
    <row r="136" spans="14:15" x14ac:dyDescent="0.4">
      <c r="N136"/>
      <c r="O136"/>
    </row>
    <row r="137" spans="14:15" x14ac:dyDescent="0.4">
      <c r="N137"/>
      <c r="O137"/>
    </row>
    <row r="138" spans="14:15" x14ac:dyDescent="0.4">
      <c r="N138"/>
      <c r="O138"/>
    </row>
    <row r="139" spans="14:15" x14ac:dyDescent="0.4">
      <c r="N139"/>
      <c r="O139"/>
    </row>
    <row r="140" spans="14:15" x14ac:dyDescent="0.4">
      <c r="N140"/>
      <c r="O140"/>
    </row>
    <row r="141" spans="14:15" x14ac:dyDescent="0.4">
      <c r="N141"/>
      <c r="O141"/>
    </row>
    <row r="142" spans="14:15" x14ac:dyDescent="0.4">
      <c r="N142"/>
      <c r="O142"/>
    </row>
    <row r="143" spans="14:15" x14ac:dyDescent="0.4">
      <c r="N143"/>
      <c r="O143"/>
    </row>
    <row r="144" spans="14:15" x14ac:dyDescent="0.4">
      <c r="N144"/>
      <c r="O144"/>
    </row>
  </sheetData>
  <autoFilter ref="F1:F144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81"/>
  <sheetViews>
    <sheetView workbookViewId="0">
      <selection activeCell="A89" sqref="A73:XFD89"/>
    </sheetView>
  </sheetViews>
  <sheetFormatPr defaultRowHeight="14" x14ac:dyDescent="0.3"/>
  <cols>
    <col min="1" max="1" width="13.75" style="34" customWidth="1"/>
    <col min="2" max="2" width="16" style="34" customWidth="1"/>
    <col min="3" max="3" width="24" style="42" customWidth="1"/>
    <col min="4" max="4" width="14.33203125" style="34" customWidth="1"/>
    <col min="5" max="5" width="9" style="34"/>
    <col min="6" max="6" width="13.08203125" style="40" customWidth="1"/>
    <col min="7" max="7" width="14.75" style="41" customWidth="1"/>
  </cols>
  <sheetData>
    <row r="1" spans="1:7" x14ac:dyDescent="0.3">
      <c r="A1" s="32" t="s">
        <v>1060</v>
      </c>
      <c r="B1" s="32" t="s">
        <v>1070</v>
      </c>
      <c r="C1" s="33" t="s">
        <v>1063</v>
      </c>
      <c r="D1" s="32" t="s">
        <v>1032</v>
      </c>
      <c r="F1" s="22" t="s">
        <v>1034</v>
      </c>
      <c r="G1" s="25" t="s">
        <v>1066</v>
      </c>
    </row>
    <row r="2" spans="1:7" hidden="1" x14ac:dyDescent="0.3">
      <c r="A2" s="35" t="s">
        <v>72</v>
      </c>
      <c r="B2" s="35" t="s">
        <v>1071</v>
      </c>
      <c r="C2" s="36">
        <v>0.97499999999999998</v>
      </c>
      <c r="D2" s="35" t="s">
        <v>52</v>
      </c>
      <c r="F2" s="17" t="s">
        <v>48</v>
      </c>
      <c r="G2" s="25">
        <v>152.34114999999997</v>
      </c>
    </row>
    <row r="3" spans="1:7" hidden="1" x14ac:dyDescent="0.3">
      <c r="A3" s="35" t="s">
        <v>72</v>
      </c>
      <c r="B3" s="37" t="s">
        <v>1072</v>
      </c>
      <c r="C3" s="38">
        <v>2.8767999999999998</v>
      </c>
      <c r="D3" s="35" t="s">
        <v>52</v>
      </c>
      <c r="F3" s="19" t="s">
        <v>67</v>
      </c>
      <c r="G3" s="25">
        <v>87.582999999999998</v>
      </c>
    </row>
    <row r="4" spans="1:7" hidden="1" x14ac:dyDescent="0.3">
      <c r="A4" s="35" t="s">
        <v>72</v>
      </c>
      <c r="B4" s="35" t="s">
        <v>1073</v>
      </c>
      <c r="C4" s="36">
        <v>66.816000000000003</v>
      </c>
      <c r="D4" s="35" t="s">
        <v>52</v>
      </c>
      <c r="F4" s="19" t="s">
        <v>101</v>
      </c>
      <c r="G4" s="25">
        <v>23.2638</v>
      </c>
    </row>
    <row r="5" spans="1:7" hidden="1" x14ac:dyDescent="0.3">
      <c r="A5" s="35" t="s">
        <v>72</v>
      </c>
      <c r="B5" s="37" t="s">
        <v>1074</v>
      </c>
      <c r="C5" s="38">
        <v>1.56</v>
      </c>
      <c r="D5" s="35" t="s">
        <v>52</v>
      </c>
      <c r="F5" s="19" t="s">
        <v>175</v>
      </c>
      <c r="G5" s="25">
        <v>19.1967</v>
      </c>
    </row>
    <row r="6" spans="1:7" hidden="1" x14ac:dyDescent="0.3">
      <c r="A6" s="35" t="s">
        <v>72</v>
      </c>
      <c r="B6" s="35" t="s">
        <v>1075</v>
      </c>
      <c r="C6" s="36">
        <v>0.10249999999999999</v>
      </c>
      <c r="D6" s="35" t="s">
        <v>52</v>
      </c>
      <c r="F6" s="19" t="s">
        <v>47</v>
      </c>
      <c r="G6" s="25">
        <v>11.277149999999999</v>
      </c>
    </row>
    <row r="7" spans="1:7" hidden="1" x14ac:dyDescent="0.3">
      <c r="A7" s="35" t="s">
        <v>472</v>
      </c>
      <c r="B7" s="37" t="s">
        <v>1075</v>
      </c>
      <c r="C7" s="38">
        <v>0.3296</v>
      </c>
      <c r="D7" s="35" t="s">
        <v>52</v>
      </c>
      <c r="F7" s="19" t="s">
        <v>56</v>
      </c>
      <c r="G7" s="25">
        <v>8.5706999999999987</v>
      </c>
    </row>
    <row r="8" spans="1:7" hidden="1" x14ac:dyDescent="0.3">
      <c r="A8" s="37" t="s">
        <v>77</v>
      </c>
      <c r="B8" s="35" t="s">
        <v>1072</v>
      </c>
      <c r="C8" s="36">
        <v>1.9685999999999999</v>
      </c>
      <c r="D8" s="37" t="s">
        <v>52</v>
      </c>
      <c r="F8" s="19" t="s">
        <v>104</v>
      </c>
      <c r="G8" s="25">
        <v>2.1537999999999999</v>
      </c>
    </row>
    <row r="9" spans="1:7" hidden="1" x14ac:dyDescent="0.3">
      <c r="A9" s="35" t="s">
        <v>77</v>
      </c>
      <c r="B9" s="37" t="s">
        <v>1076</v>
      </c>
      <c r="C9" s="38">
        <v>12.42</v>
      </c>
      <c r="D9" s="35" t="s">
        <v>52</v>
      </c>
      <c r="F9" s="19" t="s">
        <v>394</v>
      </c>
      <c r="G9" s="25">
        <v>0.29599999999999999</v>
      </c>
    </row>
    <row r="10" spans="1:7" hidden="1" x14ac:dyDescent="0.3">
      <c r="A10" s="35" t="s">
        <v>168</v>
      </c>
      <c r="B10" s="35" t="s">
        <v>1072</v>
      </c>
      <c r="C10" s="36">
        <v>1.7849999999999999</v>
      </c>
      <c r="D10" s="35" t="s">
        <v>52</v>
      </c>
      <c r="F10" s="17" t="s">
        <v>52</v>
      </c>
      <c r="G10" s="25">
        <v>151.108</v>
      </c>
    </row>
    <row r="11" spans="1:7" hidden="1" x14ac:dyDescent="0.3">
      <c r="A11" s="35" t="s">
        <v>168</v>
      </c>
      <c r="B11" s="37" t="s">
        <v>1073</v>
      </c>
      <c r="C11" s="38">
        <v>1.9584999999999999</v>
      </c>
      <c r="D11" s="35" t="s">
        <v>52</v>
      </c>
      <c r="F11" s="19" t="s">
        <v>72</v>
      </c>
      <c r="G11" s="25">
        <v>72.330300000000008</v>
      </c>
    </row>
    <row r="12" spans="1:7" hidden="1" x14ac:dyDescent="0.3">
      <c r="A12" s="35" t="s">
        <v>168</v>
      </c>
      <c r="B12" s="35" t="s">
        <v>1074</v>
      </c>
      <c r="C12" s="36">
        <v>12.505000000000001</v>
      </c>
      <c r="D12" s="35" t="s">
        <v>52</v>
      </c>
      <c r="F12" s="19" t="s">
        <v>168</v>
      </c>
      <c r="G12" s="25">
        <v>28.712199999999996</v>
      </c>
    </row>
    <row r="13" spans="1:7" hidden="1" x14ac:dyDescent="0.3">
      <c r="A13" s="37" t="s">
        <v>168</v>
      </c>
      <c r="B13" s="37" t="s">
        <v>1076</v>
      </c>
      <c r="C13" s="38">
        <v>4.26</v>
      </c>
      <c r="D13" s="37" t="s">
        <v>52</v>
      </c>
      <c r="F13" s="19" t="s">
        <v>51</v>
      </c>
      <c r="G13" s="25">
        <v>27.062799999999999</v>
      </c>
    </row>
    <row r="14" spans="1:7" hidden="1" x14ac:dyDescent="0.3">
      <c r="A14" s="35" t="s">
        <v>168</v>
      </c>
      <c r="B14" s="35" t="s">
        <v>1075</v>
      </c>
      <c r="C14" s="36">
        <v>8.2036999999999995</v>
      </c>
      <c r="D14" s="35" t="s">
        <v>52</v>
      </c>
      <c r="F14" s="19" t="s">
        <v>77</v>
      </c>
      <c r="G14" s="25">
        <v>14.3886</v>
      </c>
    </row>
    <row r="15" spans="1:7" hidden="1" x14ac:dyDescent="0.3">
      <c r="A15" s="37" t="s">
        <v>51</v>
      </c>
      <c r="B15" s="37" t="s">
        <v>1077</v>
      </c>
      <c r="C15" s="38">
        <v>12.804</v>
      </c>
      <c r="D15" s="37" t="s">
        <v>52</v>
      </c>
      <c r="F15" s="19" t="s">
        <v>83</v>
      </c>
      <c r="G15" s="25">
        <v>8.2844999999999995</v>
      </c>
    </row>
    <row r="16" spans="1:7" hidden="1" x14ac:dyDescent="0.3">
      <c r="A16" s="35" t="s">
        <v>51</v>
      </c>
      <c r="B16" s="35" t="s">
        <v>1072</v>
      </c>
      <c r="C16" s="36">
        <v>3.18</v>
      </c>
      <c r="D16" s="35" t="s">
        <v>52</v>
      </c>
      <c r="F16" s="19" t="s">
        <v>472</v>
      </c>
      <c r="G16" s="25">
        <v>0.3296</v>
      </c>
    </row>
    <row r="17" spans="1:7" hidden="1" x14ac:dyDescent="0.3">
      <c r="A17" s="35" t="s">
        <v>51</v>
      </c>
      <c r="B17" s="37" t="s">
        <v>1073</v>
      </c>
      <c r="C17" s="38">
        <v>1.0960000000000001</v>
      </c>
      <c r="D17" s="35" t="s">
        <v>52</v>
      </c>
      <c r="F17" s="17" t="s">
        <v>877</v>
      </c>
      <c r="G17" s="25">
        <v>75.78989</v>
      </c>
    </row>
    <row r="18" spans="1:7" hidden="1" x14ac:dyDescent="0.3">
      <c r="A18" s="37" t="s">
        <v>51</v>
      </c>
      <c r="B18" s="37" t="s">
        <v>1074</v>
      </c>
      <c r="C18" s="38">
        <v>9.2249999999999996</v>
      </c>
      <c r="D18" s="37" t="s">
        <v>52</v>
      </c>
      <c r="F18" s="19" t="s">
        <v>125</v>
      </c>
      <c r="G18" s="25">
        <v>63.680240000000005</v>
      </c>
    </row>
    <row r="19" spans="1:7" hidden="1" x14ac:dyDescent="0.3">
      <c r="A19" s="37" t="s">
        <v>51</v>
      </c>
      <c r="B19" s="35" t="s">
        <v>1075</v>
      </c>
      <c r="C19" s="36">
        <v>0.61380000000000001</v>
      </c>
      <c r="D19" s="37" t="s">
        <v>52</v>
      </c>
      <c r="F19" s="19" t="s">
        <v>59</v>
      </c>
      <c r="G19" s="25">
        <v>12.10965</v>
      </c>
    </row>
    <row r="20" spans="1:7" hidden="1" x14ac:dyDescent="0.3">
      <c r="A20" s="35" t="s">
        <v>51</v>
      </c>
      <c r="B20" s="35" t="s">
        <v>1078</v>
      </c>
      <c r="C20" s="36">
        <v>0.14399999999999999</v>
      </c>
      <c r="D20" s="35" t="s">
        <v>52</v>
      </c>
      <c r="F20" s="17" t="s">
        <v>42</v>
      </c>
      <c r="G20" s="25">
        <v>56.563344000000001</v>
      </c>
    </row>
    <row r="21" spans="1:7" hidden="1" x14ac:dyDescent="0.3">
      <c r="A21" s="35" t="s">
        <v>83</v>
      </c>
      <c r="B21" s="35" t="s">
        <v>1077</v>
      </c>
      <c r="C21" s="36">
        <v>5.0045000000000002</v>
      </c>
      <c r="D21" s="35" t="s">
        <v>52</v>
      </c>
      <c r="F21" s="19" t="s">
        <v>86</v>
      </c>
      <c r="G21" s="25">
        <v>28.799599999999998</v>
      </c>
    </row>
    <row r="22" spans="1:7" hidden="1" x14ac:dyDescent="0.3">
      <c r="A22" s="37" t="s">
        <v>83</v>
      </c>
      <c r="B22" s="37" t="s">
        <v>1073</v>
      </c>
      <c r="C22" s="38">
        <v>3.28</v>
      </c>
      <c r="D22" s="37" t="s">
        <v>52</v>
      </c>
      <c r="F22" s="19" t="s">
        <v>41</v>
      </c>
      <c r="G22" s="25">
        <v>13.75703</v>
      </c>
    </row>
    <row r="23" spans="1:7" hidden="1" x14ac:dyDescent="0.3">
      <c r="A23" s="37" t="s">
        <v>80</v>
      </c>
      <c r="B23" s="35" t="s">
        <v>1077</v>
      </c>
      <c r="C23" s="36">
        <v>1.27</v>
      </c>
      <c r="D23" s="37" t="s">
        <v>64</v>
      </c>
      <c r="F23" s="19" t="s">
        <v>215</v>
      </c>
      <c r="G23" s="25">
        <v>8.4949139999999996</v>
      </c>
    </row>
    <row r="24" spans="1:7" hidden="1" x14ac:dyDescent="0.3">
      <c r="A24" s="37" t="s">
        <v>80</v>
      </c>
      <c r="B24" s="35" t="s">
        <v>1073</v>
      </c>
      <c r="C24" s="36">
        <v>7.1999999999999995E-2</v>
      </c>
      <c r="D24" s="37" t="s">
        <v>64</v>
      </c>
      <c r="F24" s="19" t="s">
        <v>93</v>
      </c>
      <c r="G24" s="25">
        <v>6.4591999999999992</v>
      </c>
    </row>
    <row r="25" spans="1:7" hidden="1" x14ac:dyDescent="0.3">
      <c r="A25" s="37" t="s">
        <v>80</v>
      </c>
      <c r="B25" s="37" t="s">
        <v>1075</v>
      </c>
      <c r="C25" s="38">
        <v>2.4740000000000002</v>
      </c>
      <c r="D25" s="37" t="s">
        <v>64</v>
      </c>
      <c r="F25" s="19" t="s">
        <v>140</v>
      </c>
      <c r="G25" s="25">
        <v>-0.94740000000000002</v>
      </c>
    </row>
    <row r="26" spans="1:7" hidden="1" x14ac:dyDescent="0.3">
      <c r="A26" s="37" t="s">
        <v>63</v>
      </c>
      <c r="B26" s="35" t="s">
        <v>1073</v>
      </c>
      <c r="C26" s="36">
        <v>1.4008</v>
      </c>
      <c r="D26" s="37" t="s">
        <v>64</v>
      </c>
      <c r="F26" s="17" t="s">
        <v>64</v>
      </c>
      <c r="G26" s="25">
        <v>24.3293</v>
      </c>
    </row>
    <row r="27" spans="1:7" hidden="1" x14ac:dyDescent="0.3">
      <c r="A27" s="37" t="s">
        <v>63</v>
      </c>
      <c r="B27" s="37" t="s">
        <v>1069</v>
      </c>
      <c r="C27" s="38">
        <v>1.2741</v>
      </c>
      <c r="D27" s="37" t="s">
        <v>64</v>
      </c>
      <c r="F27" s="19" t="s">
        <v>96</v>
      </c>
      <c r="G27" s="25">
        <v>10.511200000000001</v>
      </c>
    </row>
    <row r="28" spans="1:7" hidden="1" x14ac:dyDescent="0.3">
      <c r="A28" s="37" t="s">
        <v>63</v>
      </c>
      <c r="B28" s="35" t="s">
        <v>1079</v>
      </c>
      <c r="C28" s="36">
        <v>2.6053999999999999</v>
      </c>
      <c r="D28" s="37" t="s">
        <v>64</v>
      </c>
      <c r="F28" s="19" t="s">
        <v>63</v>
      </c>
      <c r="G28" s="25">
        <v>5.7874000000000008</v>
      </c>
    </row>
    <row r="29" spans="1:7" hidden="1" x14ac:dyDescent="0.3">
      <c r="A29" s="37" t="s">
        <v>63</v>
      </c>
      <c r="B29" s="37" t="s">
        <v>1075</v>
      </c>
      <c r="C29" s="38">
        <v>0.5071</v>
      </c>
      <c r="D29" s="37" t="s">
        <v>64</v>
      </c>
      <c r="F29" s="19" t="s">
        <v>165</v>
      </c>
      <c r="G29" s="25">
        <v>4.2146999999999997</v>
      </c>
    </row>
    <row r="30" spans="1:7" hidden="1" x14ac:dyDescent="0.3">
      <c r="A30" s="35" t="s">
        <v>165</v>
      </c>
      <c r="B30" s="35" t="s">
        <v>1072</v>
      </c>
      <c r="C30" s="36">
        <v>1.1850000000000001</v>
      </c>
      <c r="D30" s="35" t="s">
        <v>64</v>
      </c>
      <c r="F30" s="19" t="s">
        <v>80</v>
      </c>
      <c r="G30" s="25">
        <v>3.8160000000000003</v>
      </c>
    </row>
    <row r="31" spans="1:7" hidden="1" x14ac:dyDescent="0.3">
      <c r="A31" s="35" t="s">
        <v>165</v>
      </c>
      <c r="B31" s="37" t="s">
        <v>1075</v>
      </c>
      <c r="C31" s="38">
        <v>2.8001999999999998</v>
      </c>
      <c r="D31" s="35" t="s">
        <v>64</v>
      </c>
      <c r="F31" s="17" t="s">
        <v>1039</v>
      </c>
      <c r="G31" s="25"/>
    </row>
    <row r="32" spans="1:7" hidden="1" x14ac:dyDescent="0.3">
      <c r="A32" s="35" t="s">
        <v>165</v>
      </c>
      <c r="B32" s="35" t="s">
        <v>1080</v>
      </c>
      <c r="C32" s="36">
        <v>0.22950000000000001</v>
      </c>
      <c r="D32" s="35" t="s">
        <v>64</v>
      </c>
      <c r="F32" s="19" t="s">
        <v>1039</v>
      </c>
      <c r="G32" s="25"/>
    </row>
    <row r="33" spans="1:7" hidden="1" x14ac:dyDescent="0.3">
      <c r="A33" s="35" t="s">
        <v>96</v>
      </c>
      <c r="B33" s="37" t="s">
        <v>1081</v>
      </c>
      <c r="C33" s="38">
        <v>2.64</v>
      </c>
      <c r="D33" s="35" t="s">
        <v>64</v>
      </c>
      <c r="F33" s="17" t="s">
        <v>1040</v>
      </c>
      <c r="G33" s="25">
        <v>460.13168400000006</v>
      </c>
    </row>
    <row r="34" spans="1:7" hidden="1" x14ac:dyDescent="0.3">
      <c r="A34" s="35" t="s">
        <v>96</v>
      </c>
      <c r="B34" s="35" t="s">
        <v>1073</v>
      </c>
      <c r="C34" s="36">
        <v>5.7472000000000003</v>
      </c>
      <c r="D34" s="35" t="s">
        <v>64</v>
      </c>
      <c r="F34"/>
      <c r="G34" s="39"/>
    </row>
    <row r="35" spans="1:7" hidden="1" x14ac:dyDescent="0.3">
      <c r="A35" s="35" t="s">
        <v>96</v>
      </c>
      <c r="B35" s="37" t="s">
        <v>1082</v>
      </c>
      <c r="C35" s="38">
        <v>0.65</v>
      </c>
      <c r="D35" s="35" t="s">
        <v>64</v>
      </c>
    </row>
    <row r="36" spans="1:7" hidden="1" x14ac:dyDescent="0.3">
      <c r="A36" s="35" t="s">
        <v>96</v>
      </c>
      <c r="B36" s="35" t="s">
        <v>1075</v>
      </c>
      <c r="C36" s="36">
        <v>1.1140000000000001</v>
      </c>
      <c r="D36" s="35" t="s">
        <v>64</v>
      </c>
    </row>
    <row r="37" spans="1:7" hidden="1" x14ac:dyDescent="0.3">
      <c r="A37" s="35" t="s">
        <v>96</v>
      </c>
      <c r="B37" s="37" t="s">
        <v>1078</v>
      </c>
      <c r="C37" s="38">
        <v>0.36</v>
      </c>
      <c r="D37" s="35" t="s">
        <v>64</v>
      </c>
    </row>
    <row r="38" spans="1:7" hidden="1" x14ac:dyDescent="0.3">
      <c r="A38" s="37" t="s">
        <v>215</v>
      </c>
      <c r="B38" s="37" t="s">
        <v>1081</v>
      </c>
      <c r="C38" s="38">
        <v>0.33600000000000002</v>
      </c>
      <c r="D38" s="37" t="s">
        <v>42</v>
      </c>
    </row>
    <row r="39" spans="1:7" hidden="1" x14ac:dyDescent="0.3">
      <c r="A39" s="35" t="s">
        <v>215</v>
      </c>
      <c r="B39" s="37" t="s">
        <v>1072</v>
      </c>
      <c r="C39" s="38">
        <v>3.48</v>
      </c>
      <c r="D39" s="35" t="s">
        <v>42</v>
      </c>
    </row>
    <row r="40" spans="1:7" hidden="1" x14ac:dyDescent="0.3">
      <c r="A40" s="35" t="s">
        <v>215</v>
      </c>
      <c r="B40" s="35" t="s">
        <v>1069</v>
      </c>
      <c r="C40" s="36">
        <v>0.148032</v>
      </c>
      <c r="D40" s="35" t="s">
        <v>42</v>
      </c>
    </row>
    <row r="41" spans="1:7" hidden="1" x14ac:dyDescent="0.3">
      <c r="A41" s="35" t="s">
        <v>215</v>
      </c>
      <c r="B41" s="37" t="s">
        <v>1075</v>
      </c>
      <c r="C41" s="38">
        <v>4.5308820000000001</v>
      </c>
      <c r="D41" s="35" t="s">
        <v>42</v>
      </c>
    </row>
    <row r="42" spans="1:7" hidden="1" x14ac:dyDescent="0.3">
      <c r="A42" s="37" t="s">
        <v>86</v>
      </c>
      <c r="B42" s="37" t="s">
        <v>1077</v>
      </c>
      <c r="C42" s="38">
        <v>0.4</v>
      </c>
      <c r="D42" s="37" t="s">
        <v>42</v>
      </c>
    </row>
    <row r="43" spans="1:7" hidden="1" x14ac:dyDescent="0.3">
      <c r="A43" s="37" t="s">
        <v>86</v>
      </c>
      <c r="B43" s="35" t="s">
        <v>1072</v>
      </c>
      <c r="C43" s="36">
        <v>9.7119999999999997</v>
      </c>
      <c r="D43" s="37" t="s">
        <v>42</v>
      </c>
    </row>
    <row r="44" spans="1:7" hidden="1" x14ac:dyDescent="0.3">
      <c r="A44" s="37" t="s">
        <v>86</v>
      </c>
      <c r="B44" s="37" t="s">
        <v>1073</v>
      </c>
      <c r="C44" s="38">
        <v>8.5500000000000007E-2</v>
      </c>
      <c r="D44" s="37" t="s">
        <v>42</v>
      </c>
    </row>
    <row r="45" spans="1:7" hidden="1" x14ac:dyDescent="0.3">
      <c r="A45" s="37" t="s">
        <v>86</v>
      </c>
      <c r="B45" s="35" t="s">
        <v>1079</v>
      </c>
      <c r="C45" s="36">
        <v>2.4983</v>
      </c>
      <c r="D45" s="37" t="s">
        <v>42</v>
      </c>
    </row>
    <row r="46" spans="1:7" hidden="1" x14ac:dyDescent="0.3">
      <c r="A46" s="37" t="s">
        <v>86</v>
      </c>
      <c r="B46" s="37" t="s">
        <v>1075</v>
      </c>
      <c r="C46" s="38">
        <v>16.100999999999999</v>
      </c>
      <c r="D46" s="37" t="s">
        <v>42</v>
      </c>
    </row>
    <row r="47" spans="1:7" hidden="1" x14ac:dyDescent="0.3">
      <c r="A47" s="37" t="s">
        <v>86</v>
      </c>
      <c r="B47" s="37" t="s">
        <v>1078</v>
      </c>
      <c r="C47" s="38">
        <v>2.8E-3</v>
      </c>
      <c r="D47" s="37" t="s">
        <v>42</v>
      </c>
    </row>
    <row r="48" spans="1:7" hidden="1" x14ac:dyDescent="0.3">
      <c r="A48" s="37" t="s">
        <v>93</v>
      </c>
      <c r="B48" s="35" t="s">
        <v>1072</v>
      </c>
      <c r="C48" s="36">
        <v>1.07</v>
      </c>
      <c r="D48" s="37" t="s">
        <v>42</v>
      </c>
    </row>
    <row r="49" spans="1:4" hidden="1" x14ac:dyDescent="0.3">
      <c r="A49" s="37" t="s">
        <v>93</v>
      </c>
      <c r="B49" s="37" t="s">
        <v>1073</v>
      </c>
      <c r="C49" s="38">
        <v>1.44</v>
      </c>
      <c r="D49" s="37" t="s">
        <v>42</v>
      </c>
    </row>
    <row r="50" spans="1:4" hidden="1" x14ac:dyDescent="0.3">
      <c r="A50" s="37" t="s">
        <v>93</v>
      </c>
      <c r="B50" s="35" t="s">
        <v>1069</v>
      </c>
      <c r="C50" s="36">
        <v>1.1792</v>
      </c>
      <c r="D50" s="37" t="s">
        <v>42</v>
      </c>
    </row>
    <row r="51" spans="1:4" hidden="1" x14ac:dyDescent="0.3">
      <c r="A51" s="37" t="s">
        <v>93</v>
      </c>
      <c r="B51" s="37" t="s">
        <v>1083</v>
      </c>
      <c r="C51" s="38">
        <v>0.11</v>
      </c>
      <c r="D51" s="37" t="s">
        <v>42</v>
      </c>
    </row>
    <row r="52" spans="1:4" hidden="1" x14ac:dyDescent="0.3">
      <c r="A52" s="35" t="s">
        <v>93</v>
      </c>
      <c r="B52" s="37" t="s">
        <v>1075</v>
      </c>
      <c r="C52" s="38">
        <v>2.66</v>
      </c>
      <c r="D52" s="35" t="s">
        <v>42</v>
      </c>
    </row>
    <row r="53" spans="1:4" hidden="1" x14ac:dyDescent="0.3">
      <c r="A53" s="37" t="s">
        <v>140</v>
      </c>
      <c r="B53" s="37" t="s">
        <v>1072</v>
      </c>
      <c r="C53" s="38">
        <v>-1.0244</v>
      </c>
      <c r="D53" s="37" t="s">
        <v>42</v>
      </c>
    </row>
    <row r="54" spans="1:4" hidden="1" x14ac:dyDescent="0.3">
      <c r="A54" s="37" t="s">
        <v>140</v>
      </c>
      <c r="B54" s="35" t="s">
        <v>1075</v>
      </c>
      <c r="C54" s="36">
        <v>7.6999999999999999E-2</v>
      </c>
      <c r="D54" s="37" t="s">
        <v>42</v>
      </c>
    </row>
    <row r="55" spans="1:4" hidden="1" x14ac:dyDescent="0.3">
      <c r="A55" s="35" t="s">
        <v>41</v>
      </c>
      <c r="B55" s="35" t="s">
        <v>1072</v>
      </c>
      <c r="C55" s="36">
        <v>2.6585000000000001</v>
      </c>
      <c r="D55" s="35" t="s">
        <v>42</v>
      </c>
    </row>
    <row r="56" spans="1:4" hidden="1" x14ac:dyDescent="0.3">
      <c r="A56" s="35" t="s">
        <v>41</v>
      </c>
      <c r="B56" s="37" t="s">
        <v>1073</v>
      </c>
      <c r="C56" s="38">
        <v>0.28839999999999999</v>
      </c>
      <c r="D56" s="35" t="s">
        <v>42</v>
      </c>
    </row>
    <row r="57" spans="1:4" hidden="1" x14ac:dyDescent="0.3">
      <c r="A57" s="37" t="s">
        <v>41</v>
      </c>
      <c r="B57" s="37" t="s">
        <v>1069</v>
      </c>
      <c r="C57" s="38">
        <v>2.1720999999999999</v>
      </c>
      <c r="D57" s="37" t="s">
        <v>42</v>
      </c>
    </row>
    <row r="58" spans="1:4" hidden="1" x14ac:dyDescent="0.3">
      <c r="A58" s="37" t="s">
        <v>41</v>
      </c>
      <c r="B58" s="35" t="s">
        <v>1075</v>
      </c>
      <c r="C58" s="36">
        <v>0.60660000000000003</v>
      </c>
      <c r="D58" s="37" t="s">
        <v>42</v>
      </c>
    </row>
    <row r="59" spans="1:4" hidden="1" x14ac:dyDescent="0.3">
      <c r="A59" s="37" t="s">
        <v>41</v>
      </c>
      <c r="B59" s="37" t="s">
        <v>1078</v>
      </c>
      <c r="C59" s="38">
        <v>8.0314300000000003</v>
      </c>
      <c r="D59" s="37" t="s">
        <v>42</v>
      </c>
    </row>
    <row r="60" spans="1:4" x14ac:dyDescent="0.3">
      <c r="A60" s="37" t="s">
        <v>56</v>
      </c>
      <c r="B60" s="37" t="s">
        <v>1071</v>
      </c>
      <c r="C60" s="38">
        <v>1.5275000000000001</v>
      </c>
      <c r="D60" s="37" t="s">
        <v>48</v>
      </c>
    </row>
    <row r="61" spans="1:4" x14ac:dyDescent="0.3">
      <c r="A61" s="37" t="s">
        <v>56</v>
      </c>
      <c r="B61" s="37" t="s">
        <v>1073</v>
      </c>
      <c r="C61" s="38">
        <v>0.58799999999999997</v>
      </c>
      <c r="D61" s="37" t="s">
        <v>48</v>
      </c>
    </row>
    <row r="62" spans="1:4" x14ac:dyDescent="0.3">
      <c r="A62" s="35" t="s">
        <v>56</v>
      </c>
      <c r="B62" s="35" t="s">
        <v>1074</v>
      </c>
      <c r="C62" s="36">
        <v>0.29210000000000003</v>
      </c>
      <c r="D62" s="35" t="s">
        <v>48</v>
      </c>
    </row>
    <row r="63" spans="1:4" x14ac:dyDescent="0.3">
      <c r="A63" s="35" t="s">
        <v>56</v>
      </c>
      <c r="B63" s="35" t="s">
        <v>1079</v>
      </c>
      <c r="C63" s="36">
        <v>3.8029000000000002</v>
      </c>
      <c r="D63" s="35" t="s">
        <v>48</v>
      </c>
    </row>
    <row r="64" spans="1:4" x14ac:dyDescent="0.3">
      <c r="A64" s="35" t="s">
        <v>56</v>
      </c>
      <c r="B64" s="37" t="s">
        <v>1075</v>
      </c>
      <c r="C64" s="38">
        <v>2.3601999999999999</v>
      </c>
      <c r="D64" s="35" t="s">
        <v>48</v>
      </c>
    </row>
    <row r="65" spans="1:4" x14ac:dyDescent="0.3">
      <c r="A65" s="35" t="s">
        <v>47</v>
      </c>
      <c r="B65" s="35" t="s">
        <v>1081</v>
      </c>
      <c r="C65" s="36">
        <v>1.88</v>
      </c>
      <c r="D65" s="35" t="s">
        <v>48</v>
      </c>
    </row>
    <row r="66" spans="1:4" x14ac:dyDescent="0.3">
      <c r="A66" s="37" t="s">
        <v>47</v>
      </c>
      <c r="B66" s="35" t="s">
        <v>1072</v>
      </c>
      <c r="C66" s="36">
        <v>-3.88</v>
      </c>
      <c r="D66" s="37" t="s">
        <v>48</v>
      </c>
    </row>
    <row r="67" spans="1:4" x14ac:dyDescent="0.3">
      <c r="A67" s="37" t="s">
        <v>47</v>
      </c>
      <c r="B67" s="37" t="s">
        <v>1073</v>
      </c>
      <c r="C67" s="38">
        <v>1.4743999999999999</v>
      </c>
      <c r="D67" s="37" t="s">
        <v>48</v>
      </c>
    </row>
    <row r="68" spans="1:4" x14ac:dyDescent="0.3">
      <c r="A68" s="37" t="s">
        <v>47</v>
      </c>
      <c r="B68" s="35" t="s">
        <v>1079</v>
      </c>
      <c r="C68" s="36">
        <v>7.42835</v>
      </c>
      <c r="D68" s="37" t="s">
        <v>48</v>
      </c>
    </row>
    <row r="69" spans="1:4" x14ac:dyDescent="0.3">
      <c r="A69" s="37" t="s">
        <v>47</v>
      </c>
      <c r="B69" s="37" t="s">
        <v>1075</v>
      </c>
      <c r="C69" s="38">
        <v>4.3743999999999996</v>
      </c>
      <c r="D69" s="37" t="s">
        <v>48</v>
      </c>
    </row>
    <row r="70" spans="1:4" x14ac:dyDescent="0.3">
      <c r="A70" s="35" t="s">
        <v>104</v>
      </c>
      <c r="B70" s="37" t="s">
        <v>1073</v>
      </c>
      <c r="C70" s="38">
        <v>0.44190000000000002</v>
      </c>
      <c r="D70" s="35" t="s">
        <v>48</v>
      </c>
    </row>
    <row r="71" spans="1:4" x14ac:dyDescent="0.3">
      <c r="A71" s="35" t="s">
        <v>104</v>
      </c>
      <c r="B71" s="35" t="s">
        <v>1069</v>
      </c>
      <c r="C71" s="36">
        <v>-0.33410000000000001</v>
      </c>
      <c r="D71" s="35" t="s">
        <v>48</v>
      </c>
    </row>
    <row r="72" spans="1:4" x14ac:dyDescent="0.3">
      <c r="A72" s="35" t="s">
        <v>104</v>
      </c>
      <c r="B72" s="37" t="s">
        <v>1078</v>
      </c>
      <c r="C72" s="38">
        <v>2.0459999999999998</v>
      </c>
      <c r="D72" s="35" t="s">
        <v>48</v>
      </c>
    </row>
    <row r="73" spans="1:4" hidden="1" x14ac:dyDescent="0.3">
      <c r="A73" s="35" t="s">
        <v>59</v>
      </c>
      <c r="B73" s="35" t="s">
        <v>1072</v>
      </c>
      <c r="C73" s="36">
        <v>9.3465000000000007</v>
      </c>
      <c r="D73" s="35" t="s">
        <v>877</v>
      </c>
    </row>
    <row r="74" spans="1:4" hidden="1" x14ac:dyDescent="0.3">
      <c r="A74" s="35" t="s">
        <v>59</v>
      </c>
      <c r="B74" s="37" t="s">
        <v>1073</v>
      </c>
      <c r="C74" s="38">
        <v>0.33</v>
      </c>
      <c r="D74" s="35" t="s">
        <v>877</v>
      </c>
    </row>
    <row r="75" spans="1:4" hidden="1" x14ac:dyDescent="0.3">
      <c r="A75" s="35" t="s">
        <v>59</v>
      </c>
      <c r="B75" s="35" t="s">
        <v>1069</v>
      </c>
      <c r="C75" s="36">
        <v>0.98419999999999996</v>
      </c>
      <c r="D75" s="35" t="s">
        <v>877</v>
      </c>
    </row>
    <row r="76" spans="1:4" hidden="1" x14ac:dyDescent="0.3">
      <c r="A76" s="35" t="s">
        <v>59</v>
      </c>
      <c r="B76" s="37" t="s">
        <v>1075</v>
      </c>
      <c r="C76" s="38">
        <v>1.44895</v>
      </c>
      <c r="D76" s="35" t="s">
        <v>877</v>
      </c>
    </row>
    <row r="77" spans="1:4" hidden="1" x14ac:dyDescent="0.3">
      <c r="A77" s="35" t="s">
        <v>125</v>
      </c>
      <c r="B77" s="35" t="s">
        <v>1071</v>
      </c>
      <c r="C77" s="36">
        <v>0.32640000000000002</v>
      </c>
      <c r="D77" s="35" t="s">
        <v>877</v>
      </c>
    </row>
    <row r="78" spans="1:4" hidden="1" x14ac:dyDescent="0.3">
      <c r="A78" s="35" t="s">
        <v>125</v>
      </c>
      <c r="B78" s="37" t="s">
        <v>1072</v>
      </c>
      <c r="C78" s="38">
        <v>8.7126000000000001</v>
      </c>
      <c r="D78" s="35" t="s">
        <v>877</v>
      </c>
    </row>
    <row r="79" spans="1:4" hidden="1" x14ac:dyDescent="0.3">
      <c r="A79" s="35" t="s">
        <v>125</v>
      </c>
      <c r="B79" s="35" t="s">
        <v>1073</v>
      </c>
      <c r="C79" s="36">
        <v>7.3007999999999997</v>
      </c>
      <c r="D79" s="35" t="s">
        <v>877</v>
      </c>
    </row>
    <row r="80" spans="1:4" hidden="1" x14ac:dyDescent="0.3">
      <c r="A80" s="35" t="s">
        <v>125</v>
      </c>
      <c r="B80" s="37" t="s">
        <v>1076</v>
      </c>
      <c r="C80" s="38">
        <v>9.69</v>
      </c>
      <c r="D80" s="35" t="s">
        <v>877</v>
      </c>
    </row>
    <row r="81" spans="1:4" hidden="1" x14ac:dyDescent="0.3">
      <c r="A81" s="35" t="s">
        <v>125</v>
      </c>
      <c r="B81" s="35" t="s">
        <v>1075</v>
      </c>
      <c r="C81" s="36">
        <v>37.650440000000003</v>
      </c>
      <c r="D81" s="35" t="s">
        <v>877</v>
      </c>
    </row>
  </sheetData>
  <autoFilter ref="D1:D81">
    <filterColumn colId="0">
      <filters>
        <filter val="客户销售四组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产品宽度</vt:lpstr>
      <vt:lpstr>场景数字化</vt:lpstr>
      <vt:lpstr>潜力产品</vt:lpstr>
      <vt:lpstr>新品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2026-06-30T06:42:25Z</dcterms:modified>
</cp:coreProperties>
</file>