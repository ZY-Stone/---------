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0" windowHeight="12400" activeTab="1"/>
  </bookViews>
  <sheets>
    <sheet name="规上用户-产品宽度" sheetId="3" r:id="rId1"/>
    <sheet name="规上客户-产品宽度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<sst xmlns="http://schemas.openxmlformats.org/spreadsheetml/2006/main" count="181" uniqueCount="93">
  <si>
    <t>最终用户-行业</t>
  </si>
  <si>
    <t>siebel编码</t>
  </si>
  <si>
    <t>最终用户</t>
  </si>
  <si>
    <t>销售</t>
  </si>
  <si>
    <t>销售部门</t>
  </si>
  <si>
    <t>是否规上</t>
  </si>
  <si>
    <t>产品线合计</t>
  </si>
  <si>
    <t>IPC</t>
  </si>
  <si>
    <t>球机</t>
  </si>
  <si>
    <t>专用摄像机</t>
  </si>
  <si>
    <t>服务器</t>
  </si>
  <si>
    <t>网络产品</t>
  </si>
  <si>
    <t>PC产品</t>
  </si>
  <si>
    <t>NVR</t>
  </si>
  <si>
    <t>存储</t>
  </si>
  <si>
    <t>LED与拼控</t>
  </si>
  <si>
    <t>LCD与解码</t>
  </si>
  <si>
    <t>智能交通</t>
  </si>
  <si>
    <t>移动终端产品</t>
  </si>
  <si>
    <t>出入口停车</t>
  </si>
  <si>
    <t>门禁</t>
  </si>
  <si>
    <t>对讲</t>
  </si>
  <si>
    <t>人员通道</t>
  </si>
  <si>
    <t>报警</t>
  </si>
  <si>
    <t>音频产品</t>
  </si>
  <si>
    <t>传感产品</t>
  </si>
  <si>
    <t>智慧屏与视频会议</t>
  </si>
  <si>
    <t>通用软件</t>
  </si>
  <si>
    <t>行业软件</t>
  </si>
  <si>
    <t>基础软件</t>
  </si>
  <si>
    <t>新业务（热成像/睿影/消防等）</t>
  </si>
  <si>
    <t>网络安全</t>
  </si>
  <si>
    <t>综合布线与机柜机房</t>
  </si>
  <si>
    <t>智能计算</t>
  </si>
  <si>
    <t>接口人</t>
  </si>
  <si>
    <t>用户等级</t>
  </si>
  <si>
    <t>电子电器</t>
  </si>
  <si>
    <t>1-1GXJNYG</t>
  </si>
  <si>
    <t>立讯精密工业股份有限公司</t>
  </si>
  <si>
    <t>潘仲楠</t>
  </si>
  <si>
    <t>工业企业一组</t>
  </si>
  <si>
    <t>是</t>
  </si>
  <si>
    <t>姚金成</t>
  </si>
  <si>
    <t>头部用户</t>
  </si>
  <si>
    <t>智慧商贸</t>
  </si>
  <si>
    <t>1-28SVB2T</t>
  </si>
  <si>
    <t>腾讯科技（深圳）有限公司</t>
  </si>
  <si>
    <t>曾强弘</t>
  </si>
  <si>
    <t>智慧商贸组</t>
  </si>
  <si>
    <t>腰部用户</t>
  </si>
  <si>
    <t>119807</t>
  </si>
  <si>
    <t>富士康科技集团公司</t>
  </si>
  <si>
    <t>周丹3</t>
  </si>
  <si>
    <t>长尾用户</t>
  </si>
  <si>
    <t>智慧建筑</t>
  </si>
  <si>
    <t>1-1XPIF9D</t>
  </si>
  <si>
    <t>招商局蛇口工业区控股股份有限公司</t>
  </si>
  <si>
    <t>杨秀敏</t>
  </si>
  <si>
    <t>智慧建筑组</t>
  </si>
  <si>
    <t>1-LY-1168762</t>
  </si>
  <si>
    <t>万科企业股份有限公司</t>
  </si>
  <si>
    <t>朱绪浩</t>
  </si>
  <si>
    <t>电力央企</t>
  </si>
  <si>
    <t>1-1OS6G</t>
  </si>
  <si>
    <t>深圳供电局有限公司</t>
  </si>
  <si>
    <t>高扬23</t>
  </si>
  <si>
    <t>工业企业二组</t>
  </si>
  <si>
    <t>1-4I18J3H</t>
  </si>
  <si>
    <t>丰巢网络技术有限公司</t>
  </si>
  <si>
    <t>李耀东</t>
  </si>
  <si>
    <t>1-LY-1168904</t>
  </si>
  <si>
    <t>华润置地有限公司</t>
  </si>
  <si>
    <t>何亮12</t>
  </si>
  <si>
    <t>1-854GFLV</t>
  </si>
  <si>
    <t>深圳市云祥物流有限公司</t>
  </si>
  <si>
    <t>1-34NWS7W</t>
  </si>
  <si>
    <t>格林美股份有限公司</t>
  </si>
  <si>
    <t>杨永光</t>
  </si>
  <si>
    <t>1-4H6AGG8</t>
  </si>
  <si>
    <t>深圳市海晨物流有限公司</t>
  </si>
  <si>
    <t>刘佳豪26</t>
  </si>
  <si>
    <t>1-12901600314</t>
  </si>
  <si>
    <t>海目星激光科技集团股份有限公司</t>
  </si>
  <si>
    <t>明良斌</t>
  </si>
  <si>
    <t>场景数字化销售部</t>
  </si>
  <si>
    <t>否</t>
  </si>
  <si>
    <t>售达方描述（客户）</t>
  </si>
  <si>
    <r>
      <rPr>
        <sz val="8"/>
        <color rgb="FFFFFFFF"/>
        <rFont val="微软雅黑"/>
        <charset val="134"/>
      </rPr>
      <t>销售</t>
    </r>
  </si>
  <si>
    <t>客户等级</t>
  </si>
  <si>
    <t>A/B/C</t>
  </si>
  <si>
    <t>1-1GXJNSSX</t>
  </si>
  <si>
    <t>立讯精XXX业股份有限公司</t>
  </si>
  <si>
    <t>张岩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</si>
</sst>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8"/>
      <color rgb="FFFFFFFF"/>
      <name val="微软雅黑"/>
      <charset val="134"/>
    </font>
    <font>
      <b/>
      <sz val="8"/>
      <color rgb="FFFFFFFF"/>
      <name val="微软雅黑"/>
      <charset val="134"/>
    </font>
    <font>
      <sz val="8"/>
      <color indexed="8"/>
      <name val="微软雅黑"/>
      <charset val="134"/>
    </font>
    <font>
      <b/>
      <sz val="8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472ED"/>
        <bgColor indexed="64"/>
      </patternFill>
    </fill>
    <fill>
      <patternFill patternType="solid">
        <fgColor rgb="FFEAF0F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4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"/>
  <sheetViews>
    <sheetView workbookViewId="0">
      <selection activeCell="E1" sqref="E1"/>
    </sheetView>
  </sheetViews>
  <sheetFormatPr defaultColWidth="9" defaultRowHeight="14"/>
  <cols>
    <col min="1" max="1" width="14.0833333333333" customWidth="1"/>
    <col min="2" max="2" width="13.5833333333333" customWidth="1"/>
    <col min="3" max="3" width="24.6666666666667" customWidth="1"/>
    <col min="5" max="5" width="14.4166666666667" style="7" customWidth="1"/>
  </cols>
  <sheetData>
    <row r="1" ht="34.5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1" t="s">
        <v>35</v>
      </c>
    </row>
    <row r="2" spans="1:36">
      <c r="A2" s="5" t="s">
        <v>36</v>
      </c>
      <c r="B2" s="5" t="s">
        <v>37</v>
      </c>
      <c r="C2" s="5" t="s">
        <v>38</v>
      </c>
      <c r="D2" s="5" t="s">
        <v>39</v>
      </c>
      <c r="E2" s="5" t="s">
        <v>40</v>
      </c>
      <c r="F2" s="5" t="s">
        <v>41</v>
      </c>
      <c r="G2" s="6">
        <f t="shared" ref="G2:G13" si="0">SUM(H2:AH2)</f>
        <v>25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  <c r="AF2" s="5">
        <v>0</v>
      </c>
      <c r="AG2" s="5">
        <v>0</v>
      </c>
      <c r="AH2" s="5">
        <v>1</v>
      </c>
      <c r="AI2" s="5" t="s">
        <v>42</v>
      </c>
      <c r="AJ2" s="5" t="s">
        <v>43</v>
      </c>
    </row>
    <row r="3" spans="1:36">
      <c r="A3" s="8" t="s">
        <v>44</v>
      </c>
      <c r="B3" s="8" t="s">
        <v>45</v>
      </c>
      <c r="C3" s="8" t="s">
        <v>46</v>
      </c>
      <c r="D3" s="8" t="s">
        <v>47</v>
      </c>
      <c r="E3" s="8" t="s">
        <v>48</v>
      </c>
      <c r="F3" s="5" t="s">
        <v>41</v>
      </c>
      <c r="G3" s="9">
        <f t="shared" si="0"/>
        <v>16</v>
      </c>
      <c r="H3" s="8">
        <v>1</v>
      </c>
      <c r="I3" s="8">
        <v>1</v>
      </c>
      <c r="J3" s="8">
        <v>0</v>
      </c>
      <c r="K3" s="8">
        <v>1</v>
      </c>
      <c r="L3" s="8">
        <v>1</v>
      </c>
      <c r="M3" s="8">
        <v>0</v>
      </c>
      <c r="N3" s="8">
        <v>1</v>
      </c>
      <c r="O3" s="8">
        <v>1</v>
      </c>
      <c r="P3" s="8">
        <v>0</v>
      </c>
      <c r="Q3" s="8">
        <v>1</v>
      </c>
      <c r="R3" s="8">
        <v>0</v>
      </c>
      <c r="S3" s="8">
        <v>1</v>
      </c>
      <c r="T3" s="8">
        <v>0</v>
      </c>
      <c r="U3" s="8">
        <v>1</v>
      </c>
      <c r="V3" s="8">
        <v>0</v>
      </c>
      <c r="W3" s="8">
        <v>1</v>
      </c>
      <c r="X3" s="8">
        <v>1</v>
      </c>
      <c r="Y3" s="8">
        <v>0</v>
      </c>
      <c r="Z3" s="8">
        <v>0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0</v>
      </c>
      <c r="AG3" s="8">
        <v>0</v>
      </c>
      <c r="AH3" s="8">
        <v>0</v>
      </c>
      <c r="AI3" s="8" t="s">
        <v>42</v>
      </c>
      <c r="AJ3" s="8" t="s">
        <v>49</v>
      </c>
    </row>
    <row r="4" spans="1:36">
      <c r="A4" s="5" t="s">
        <v>36</v>
      </c>
      <c r="B4" s="5" t="s">
        <v>50</v>
      </c>
      <c r="C4" s="5" t="s">
        <v>51</v>
      </c>
      <c r="D4" s="5" t="s">
        <v>52</v>
      </c>
      <c r="E4" s="5" t="s">
        <v>40</v>
      </c>
      <c r="F4" s="5" t="s">
        <v>41</v>
      </c>
      <c r="G4" s="6">
        <f t="shared" si="0"/>
        <v>21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0</v>
      </c>
      <c r="N4" s="5">
        <v>1</v>
      </c>
      <c r="O4" s="5">
        <v>1</v>
      </c>
      <c r="P4" s="5">
        <v>1</v>
      </c>
      <c r="Q4" s="5">
        <v>1</v>
      </c>
      <c r="R4" s="5">
        <v>0</v>
      </c>
      <c r="S4" s="5">
        <v>0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0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0</v>
      </c>
      <c r="AG4" s="5">
        <v>0</v>
      </c>
      <c r="AH4" s="5">
        <v>1</v>
      </c>
      <c r="AI4" s="5" t="s">
        <v>42</v>
      </c>
      <c r="AJ4" s="5" t="s">
        <v>53</v>
      </c>
    </row>
    <row r="5" spans="1:36">
      <c r="A5" s="8" t="s">
        <v>54</v>
      </c>
      <c r="B5" s="8" t="s">
        <v>55</v>
      </c>
      <c r="C5" s="8" t="s">
        <v>56</v>
      </c>
      <c r="D5" s="8" t="s">
        <v>57</v>
      </c>
      <c r="E5" s="8" t="s">
        <v>58</v>
      </c>
      <c r="F5" s="5" t="s">
        <v>41</v>
      </c>
      <c r="G5" s="9">
        <f t="shared" si="0"/>
        <v>15</v>
      </c>
      <c r="H5" s="8">
        <v>1</v>
      </c>
      <c r="I5" s="8">
        <v>0</v>
      </c>
      <c r="J5" s="8">
        <v>0</v>
      </c>
      <c r="K5" s="8">
        <v>1</v>
      </c>
      <c r="L5" s="8">
        <v>1</v>
      </c>
      <c r="M5" s="8">
        <v>0</v>
      </c>
      <c r="N5" s="8">
        <v>1</v>
      </c>
      <c r="O5" s="8">
        <v>1</v>
      </c>
      <c r="P5" s="8">
        <v>1</v>
      </c>
      <c r="Q5" s="8">
        <v>1</v>
      </c>
      <c r="R5" s="8">
        <v>0</v>
      </c>
      <c r="S5" s="8">
        <v>0</v>
      </c>
      <c r="T5" s="8">
        <v>1</v>
      </c>
      <c r="U5" s="8">
        <v>1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1</v>
      </c>
      <c r="AB5" s="8">
        <v>1</v>
      </c>
      <c r="AC5" s="8">
        <v>1</v>
      </c>
      <c r="AD5" s="8">
        <v>0</v>
      </c>
      <c r="AE5" s="8">
        <v>0</v>
      </c>
      <c r="AF5" s="8">
        <v>1</v>
      </c>
      <c r="AG5" s="8">
        <v>1</v>
      </c>
      <c r="AH5" s="8">
        <v>1</v>
      </c>
      <c r="AI5" s="8" t="s">
        <v>42</v>
      </c>
      <c r="AJ5" s="5" t="s">
        <v>43</v>
      </c>
    </row>
    <row r="6" spans="1:36">
      <c r="A6" s="5" t="s">
        <v>54</v>
      </c>
      <c r="B6" s="5" t="s">
        <v>59</v>
      </c>
      <c r="C6" s="5" t="s">
        <v>60</v>
      </c>
      <c r="D6" s="5" t="s">
        <v>61</v>
      </c>
      <c r="E6" s="5" t="s">
        <v>58</v>
      </c>
      <c r="F6" s="5" t="s">
        <v>41</v>
      </c>
      <c r="G6" s="6">
        <f t="shared" si="0"/>
        <v>18</v>
      </c>
      <c r="H6" s="5">
        <v>1</v>
      </c>
      <c r="I6" s="5">
        <v>1</v>
      </c>
      <c r="J6" s="5">
        <v>0</v>
      </c>
      <c r="K6" s="5">
        <v>1</v>
      </c>
      <c r="L6" s="5">
        <v>1</v>
      </c>
      <c r="M6" s="5">
        <v>0</v>
      </c>
      <c r="N6" s="5">
        <v>1</v>
      </c>
      <c r="O6" s="5">
        <v>1</v>
      </c>
      <c r="P6" s="5">
        <v>0</v>
      </c>
      <c r="Q6" s="5">
        <v>1</v>
      </c>
      <c r="R6" s="5">
        <v>1</v>
      </c>
      <c r="S6" s="5">
        <v>0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0</v>
      </c>
      <c r="AA6" s="5">
        <v>0</v>
      </c>
      <c r="AB6" s="5">
        <v>1</v>
      </c>
      <c r="AC6" s="5">
        <v>1</v>
      </c>
      <c r="AD6" s="5">
        <v>0</v>
      </c>
      <c r="AE6" s="5">
        <v>1</v>
      </c>
      <c r="AF6" s="5">
        <v>0</v>
      </c>
      <c r="AG6" s="5">
        <v>0</v>
      </c>
      <c r="AH6" s="5">
        <v>1</v>
      </c>
      <c r="AI6" s="5" t="s">
        <v>42</v>
      </c>
      <c r="AJ6" s="8" t="s">
        <v>49</v>
      </c>
    </row>
    <row r="7" spans="1:36">
      <c r="A7" s="8" t="s">
        <v>62</v>
      </c>
      <c r="B7" s="8" t="s">
        <v>63</v>
      </c>
      <c r="C7" s="8" t="s">
        <v>64</v>
      </c>
      <c r="D7" s="8" t="s">
        <v>65</v>
      </c>
      <c r="E7" s="8" t="s">
        <v>66</v>
      </c>
      <c r="F7" s="5" t="s">
        <v>41</v>
      </c>
      <c r="G7" s="9">
        <f t="shared" si="0"/>
        <v>22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0</v>
      </c>
      <c r="S7" s="8">
        <v>0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  <c r="Z7" s="8">
        <v>1</v>
      </c>
      <c r="AA7" s="8">
        <v>1</v>
      </c>
      <c r="AB7" s="8">
        <v>1</v>
      </c>
      <c r="AC7" s="8">
        <v>0</v>
      </c>
      <c r="AD7" s="8">
        <v>0</v>
      </c>
      <c r="AE7" s="8">
        <v>1</v>
      </c>
      <c r="AF7" s="8">
        <v>1</v>
      </c>
      <c r="AG7" s="8">
        <v>0</v>
      </c>
      <c r="AH7" s="8">
        <v>1</v>
      </c>
      <c r="AI7" s="8" t="s">
        <v>42</v>
      </c>
      <c r="AJ7" s="5" t="s">
        <v>53</v>
      </c>
    </row>
    <row r="8" spans="1:36">
      <c r="A8" s="5" t="s">
        <v>44</v>
      </c>
      <c r="B8" s="5" t="s">
        <v>67</v>
      </c>
      <c r="C8" s="5" t="s">
        <v>68</v>
      </c>
      <c r="D8" s="5" t="s">
        <v>69</v>
      </c>
      <c r="E8" s="5" t="s">
        <v>48</v>
      </c>
      <c r="F8" s="5" t="s">
        <v>41</v>
      </c>
      <c r="G8" s="6">
        <f t="shared" si="0"/>
        <v>3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1</v>
      </c>
      <c r="AF8" s="5">
        <v>0</v>
      </c>
      <c r="AG8" s="5">
        <v>0</v>
      </c>
      <c r="AH8" s="5">
        <v>0</v>
      </c>
      <c r="AI8" s="5" t="s">
        <v>42</v>
      </c>
      <c r="AJ8" s="5" t="s">
        <v>43</v>
      </c>
    </row>
    <row r="9" spans="1:36">
      <c r="A9" s="8" t="s">
        <v>54</v>
      </c>
      <c r="B9" s="8" t="s">
        <v>70</v>
      </c>
      <c r="C9" s="8" t="s">
        <v>71</v>
      </c>
      <c r="D9" s="8" t="s">
        <v>72</v>
      </c>
      <c r="E9" s="8" t="s">
        <v>58</v>
      </c>
      <c r="F9" s="5" t="s">
        <v>41</v>
      </c>
      <c r="G9" s="9">
        <f t="shared" si="0"/>
        <v>15</v>
      </c>
      <c r="H9" s="8">
        <v>1</v>
      </c>
      <c r="I9" s="8">
        <v>1</v>
      </c>
      <c r="J9" s="8">
        <v>0</v>
      </c>
      <c r="K9" s="8">
        <v>1</v>
      </c>
      <c r="L9" s="8">
        <v>1</v>
      </c>
      <c r="M9" s="8">
        <v>1</v>
      </c>
      <c r="N9" s="8">
        <v>1</v>
      </c>
      <c r="O9" s="8">
        <v>1</v>
      </c>
      <c r="P9" s="8">
        <v>1</v>
      </c>
      <c r="Q9" s="8">
        <v>1</v>
      </c>
      <c r="R9" s="8">
        <v>0</v>
      </c>
      <c r="S9" s="8">
        <v>0</v>
      </c>
      <c r="T9" s="8">
        <v>1</v>
      </c>
      <c r="U9" s="8">
        <v>1</v>
      </c>
      <c r="V9" s="8">
        <v>1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1</v>
      </c>
      <c r="AC9" s="8">
        <v>0</v>
      </c>
      <c r="AD9" s="8">
        <v>0</v>
      </c>
      <c r="AE9" s="8">
        <v>1</v>
      </c>
      <c r="AF9" s="8">
        <v>0</v>
      </c>
      <c r="AG9" s="8">
        <v>1</v>
      </c>
      <c r="AH9" s="8">
        <v>0</v>
      </c>
      <c r="AI9" s="8" t="s">
        <v>42</v>
      </c>
      <c r="AJ9" s="8" t="s">
        <v>49</v>
      </c>
    </row>
    <row r="10" spans="1:36">
      <c r="A10" s="5" t="s">
        <v>44</v>
      </c>
      <c r="B10" s="5" t="s">
        <v>73</v>
      </c>
      <c r="C10" s="5" t="s">
        <v>74</v>
      </c>
      <c r="D10" s="5" t="s">
        <v>47</v>
      </c>
      <c r="E10" s="5" t="s">
        <v>48</v>
      </c>
      <c r="F10" s="5" t="s">
        <v>41</v>
      </c>
      <c r="G10" s="6">
        <f t="shared" si="0"/>
        <v>7</v>
      </c>
      <c r="H10" s="5">
        <v>1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1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1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1</v>
      </c>
      <c r="AF10" s="5">
        <v>0</v>
      </c>
      <c r="AG10" s="5">
        <v>0</v>
      </c>
      <c r="AH10" s="5">
        <v>1</v>
      </c>
      <c r="AI10" s="5" t="s">
        <v>42</v>
      </c>
      <c r="AJ10" s="5" t="s">
        <v>53</v>
      </c>
    </row>
    <row r="11" spans="1:36">
      <c r="A11" s="8" t="s">
        <v>36</v>
      </c>
      <c r="B11" s="8" t="s">
        <v>75</v>
      </c>
      <c r="C11" s="8" t="s">
        <v>76</v>
      </c>
      <c r="D11" s="8" t="s">
        <v>77</v>
      </c>
      <c r="E11" s="8" t="s">
        <v>40</v>
      </c>
      <c r="F11" s="5" t="s">
        <v>41</v>
      </c>
      <c r="G11" s="9">
        <f t="shared" si="0"/>
        <v>8</v>
      </c>
      <c r="H11" s="8">
        <v>1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1</v>
      </c>
      <c r="U11" s="8">
        <v>1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1</v>
      </c>
      <c r="AC11" s="8">
        <v>1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 t="s">
        <v>42</v>
      </c>
      <c r="AJ11" s="5" t="s">
        <v>43</v>
      </c>
    </row>
    <row r="12" spans="1:36">
      <c r="A12" s="5" t="s">
        <v>44</v>
      </c>
      <c r="B12" s="5" t="s">
        <v>78</v>
      </c>
      <c r="C12" s="5" t="s">
        <v>79</v>
      </c>
      <c r="D12" s="5" t="s">
        <v>80</v>
      </c>
      <c r="E12" s="5" t="s">
        <v>48</v>
      </c>
      <c r="F12" s="5" t="s">
        <v>41</v>
      </c>
      <c r="G12" s="6">
        <f t="shared" si="0"/>
        <v>3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 t="s">
        <v>42</v>
      </c>
      <c r="AJ12" s="8" t="s">
        <v>49</v>
      </c>
    </row>
    <row r="13" spans="1:36">
      <c r="A13" s="8" t="s">
        <v>36</v>
      </c>
      <c r="B13" s="8" t="s">
        <v>81</v>
      </c>
      <c r="C13" s="8" t="s">
        <v>82</v>
      </c>
      <c r="D13" s="8" t="s">
        <v>83</v>
      </c>
      <c r="E13" s="8" t="s">
        <v>84</v>
      </c>
      <c r="F13" s="8" t="s">
        <v>85</v>
      </c>
      <c r="G13" s="9">
        <f t="shared" si="0"/>
        <v>8</v>
      </c>
      <c r="H13" s="8">
        <v>1</v>
      </c>
      <c r="I13" s="8">
        <v>1</v>
      </c>
      <c r="J13" s="8">
        <v>0</v>
      </c>
      <c r="K13" s="8">
        <v>0</v>
      </c>
      <c r="L13" s="8">
        <v>1</v>
      </c>
      <c r="M13" s="8">
        <v>0</v>
      </c>
      <c r="N13" s="8">
        <v>1</v>
      </c>
      <c r="O13" s="8">
        <v>1</v>
      </c>
      <c r="P13" s="8">
        <v>0</v>
      </c>
      <c r="Q13" s="8">
        <v>0</v>
      </c>
      <c r="R13" s="8">
        <v>0</v>
      </c>
      <c r="S13" s="8">
        <v>1</v>
      </c>
      <c r="T13" s="8">
        <v>0</v>
      </c>
      <c r="U13" s="8">
        <v>1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 t="s">
        <v>42</v>
      </c>
      <c r="AJ13" s="5" t="s">
        <v>53</v>
      </c>
    </row>
  </sheetData>
  <conditionalFormatting sqref="H1:AH1">
    <cfRule type="cellIs" dxfId="0" priority="2" operator="equal">
      <formula>1</formula>
    </cfRule>
  </conditionalFormatting>
  <conditionalFormatting sqref="H2:AH13">
    <cfRule type="cellIs" dxfId="0" priority="1" operator="equal">
      <formula>1</formula>
    </cfRule>
  </conditionalFormatting>
  <pageMargins left="0.7" right="0.7" top="0.75" bottom="0.75" header="0.3" footer="0.3"/>
  <headerFooter/>
  <ignoredErrors>
    <ignoredError sqref="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"/>
  <sheetViews>
    <sheetView tabSelected="1" zoomScale="85" zoomScaleNormal="85" workbookViewId="0">
      <selection activeCell="E2" sqref="E2:E3"/>
    </sheetView>
  </sheetViews>
  <sheetFormatPr defaultColWidth="9" defaultRowHeight="14" outlineLevelRow="2"/>
  <cols>
    <col min="1" max="1" width="12.5416666666667" customWidth="1"/>
    <col min="2" max="2" width="21.175" customWidth="1"/>
    <col min="3" max="3" width="11.5666666666667" customWidth="1"/>
    <col min="4" max="4" width="11.4666666666667" customWidth="1"/>
  </cols>
  <sheetData>
    <row r="1" ht="34.5" spans="1:35">
      <c r="A1" s="1" t="s">
        <v>1</v>
      </c>
      <c r="B1" s="1" t="s">
        <v>86</v>
      </c>
      <c r="C1" s="1" t="s">
        <v>87</v>
      </c>
      <c r="D1" s="1" t="s">
        <v>4</v>
      </c>
      <c r="E1" s="1" t="s">
        <v>5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1" t="s">
        <v>34</v>
      </c>
      <c r="AI1" s="1" t="s">
        <v>88</v>
      </c>
    </row>
    <row r="2" ht="23" customHeight="1" spans="1:35">
      <c r="A2" s="4" t="s">
        <v>37</v>
      </c>
      <c r="B2" s="4" t="s">
        <v>38</v>
      </c>
      <c r="C2" s="4" t="s">
        <v>39</v>
      </c>
      <c r="D2" s="4" t="s">
        <v>40</v>
      </c>
      <c r="E2" s="5" t="s">
        <v>41</v>
      </c>
      <c r="F2" s="6">
        <f t="shared" ref="F2:F3" si="0">SUM(G2:AG2)</f>
        <v>25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0</v>
      </c>
      <c r="AF2" s="5">
        <v>0</v>
      </c>
      <c r="AG2" s="5">
        <v>1</v>
      </c>
      <c r="AH2" s="4" t="s">
        <v>42</v>
      </c>
      <c r="AI2" s="4" t="s">
        <v>89</v>
      </c>
    </row>
    <row r="3" ht="23" customHeight="1" spans="1:35">
      <c r="A3" s="4" t="s">
        <v>90</v>
      </c>
      <c r="B3" s="4" t="s">
        <v>91</v>
      </c>
      <c r="C3" s="4" t="s">
        <v>92</v>
      </c>
      <c r="D3" s="4" t="s">
        <v>40</v>
      </c>
      <c r="E3" s="5" t="s">
        <v>85</v>
      </c>
      <c r="F3" s="6">
        <f t="shared" si="0"/>
        <v>21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0</v>
      </c>
      <c r="S3" s="5">
        <v>0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1</v>
      </c>
      <c r="AC3" s="5">
        <v>1</v>
      </c>
      <c r="AD3" s="5">
        <v>1</v>
      </c>
      <c r="AE3" s="5">
        <v>0</v>
      </c>
      <c r="AF3" s="5">
        <v>0</v>
      </c>
      <c r="AG3" s="5">
        <v>1</v>
      </c>
      <c r="AH3" s="4" t="s">
        <v>42</v>
      </c>
      <c r="AI3" s="4" t="s">
        <v>89</v>
      </c>
    </row>
  </sheetData>
  <conditionalFormatting sqref="G3:AG3">
    <cfRule type="cellIs" dxfId="0" priority="1" operator="equal">
      <formula>1</formula>
    </cfRule>
  </conditionalFormatting>
  <conditionalFormatting sqref="G1:AG2">
    <cfRule type="cellIs" dxfId="0" priority="2" operator="equal">
      <formula>1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规上用户-产品宽度</vt:lpstr>
      <vt:lpstr>规上客户-产品宽度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zhangyan59</cp:lastModifiedBy>
  <dcterms:created xsi:type="dcterms:W3CDTF">2015-06-05T18:19:00Z</dcterms:created>
  <dcterms:modified xsi:type="dcterms:W3CDTF">2026-07-27T08:06:36Z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BAE09A580FD146499A88263C3CA491FE_12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