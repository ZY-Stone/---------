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550"/>
  </bookViews>
  <sheets>
    <sheet name="Sheet1" sheetId="1" r:id="rId1"/>
  </sheets>
  <externalReferences>
    <externalReference r:id="rId2"/>
  </externalReferences>
  <definedNames>
    <definedName name="_xlnm._FilterDatabase" localSheetId="0" hidden="1">Sheet1!$D$1:$D$396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<sst xmlns="http://schemas.openxmlformats.org/spreadsheetml/2006/main" count="1778" uniqueCount="847">
  <si>
    <t>最终用户</t>
  </si>
  <si>
    <t>siebel编码</t>
  </si>
  <si>
    <t>CRM销售域账号</t>
  </si>
  <si>
    <t>销售部门</t>
  </si>
  <si>
    <t>是否规上</t>
  </si>
  <si>
    <t>产品宽度合计</t>
  </si>
  <si>
    <t>IPC</t>
  </si>
  <si>
    <t>球机</t>
  </si>
  <si>
    <t>专用摄像机</t>
  </si>
  <si>
    <t>服务器</t>
  </si>
  <si>
    <t>网络产品</t>
  </si>
  <si>
    <t>PC产品</t>
  </si>
  <si>
    <t>NVR</t>
  </si>
  <si>
    <t>存储</t>
  </si>
  <si>
    <t>LED与拼控</t>
  </si>
  <si>
    <t>LCD与解码</t>
  </si>
  <si>
    <t>智能交通</t>
  </si>
  <si>
    <t>移动终端产品</t>
  </si>
  <si>
    <t>出入口停车</t>
  </si>
  <si>
    <t>门禁</t>
  </si>
  <si>
    <t>对讲</t>
  </si>
  <si>
    <t>人员通道</t>
  </si>
  <si>
    <t>报警</t>
  </si>
  <si>
    <t>音频产品</t>
  </si>
  <si>
    <t>传感产品</t>
  </si>
  <si>
    <t>智慧屏与视频会议</t>
  </si>
  <si>
    <t>通用软件</t>
  </si>
  <si>
    <t>行业软件</t>
  </si>
  <si>
    <t>基础软件</t>
  </si>
  <si>
    <t>新业务（热成像/睿影/消防等）</t>
  </si>
  <si>
    <t>网络安全</t>
  </si>
  <si>
    <t>综合布线与机柜机房</t>
  </si>
  <si>
    <t>智能计算</t>
  </si>
  <si>
    <t>光大环保（中国）有限公司</t>
  </si>
  <si>
    <t>1-1GY7K51</t>
  </si>
  <si>
    <t>陶文杰</t>
  </si>
  <si>
    <t>是</t>
  </si>
  <si>
    <t>东江环保股份有限公司</t>
  </si>
  <si>
    <t>1-DRS-2933862</t>
  </si>
  <si>
    <t>深圳市生态环境局</t>
  </si>
  <si>
    <t>1-3TCI8KI</t>
  </si>
  <si>
    <t>否</t>
  </si>
  <si>
    <t>中国联合网络通信有限公司深圳市分公司</t>
  </si>
  <si>
    <t>1-1EEGHD1</t>
  </si>
  <si>
    <t>深圳市宝安区城市管理和综合执法局</t>
  </si>
  <si>
    <t>1-1XMZU1B</t>
  </si>
  <si>
    <t>深圳市宝安区松岗街道办事处</t>
  </si>
  <si>
    <t>1-DRFT-2985630</t>
  </si>
  <si>
    <t>深圳市福田区城市管理和综合执法局</t>
  </si>
  <si>
    <t>1-22NTEEU</t>
  </si>
  <si>
    <t>深圳市南山区城市管理局</t>
  </si>
  <si>
    <t>1-DRS-2936417</t>
  </si>
  <si>
    <t>深圳市生态环境局龙岗管理局</t>
  </si>
  <si>
    <t>1-4O2ANDW</t>
  </si>
  <si>
    <t>深圳市宝安区新安街道办事处</t>
  </si>
  <si>
    <t>1-1W8IBND</t>
  </si>
  <si>
    <t>深圳市龙岗区城市管理局（深圳市龙岗区城市管理行政执法局）</t>
  </si>
  <si>
    <t>1-229SRQZ</t>
  </si>
  <si>
    <t>深圳市罗湖区城市管理和综合执法局</t>
  </si>
  <si>
    <t>1-4ESDREP</t>
  </si>
  <si>
    <t>深圳市宝安区沙井街道办事处（中共深圳市宝安区沙井街道工作委员会）</t>
  </si>
  <si>
    <t>1-1ZVMRJ4</t>
  </si>
  <si>
    <t>深圳市宝安区燕罗街道办事处（中共深圳市宝安区燕罗街道工作委员会）</t>
  </si>
  <si>
    <t>1-2U3PBEW</t>
  </si>
  <si>
    <t>深圳市宝安实业集团有限公司</t>
  </si>
  <si>
    <t>1-59IC6K5</t>
  </si>
  <si>
    <t>深圳市宝安区福永街道办事处</t>
  </si>
  <si>
    <t>1-242Q0O3</t>
  </si>
  <si>
    <t>深圳市宝安区新桥街道办事处（中共深圳市宝安区新桥街道工作委员会）</t>
  </si>
  <si>
    <t>1-2U3PBEI</t>
  </si>
  <si>
    <t>深圳市龙华区城市管理和综合执法局</t>
  </si>
  <si>
    <t>1-45LSN3U</t>
  </si>
  <si>
    <t>中国移动通信集团广东有限公司深圳分公司</t>
  </si>
  <si>
    <t>1-1PKZU</t>
  </si>
  <si>
    <t>深圳市宝安产业投资集团有限公司</t>
  </si>
  <si>
    <t>1-4ZJ91ZR</t>
  </si>
  <si>
    <t>深圳市宝安区福海街道办事处（中共深圳市宝安区福海街道工作委员会）</t>
  </si>
  <si>
    <t>1-3XWJQB1</t>
  </si>
  <si>
    <t>深圳市宝安区石岩街道办事处</t>
  </si>
  <si>
    <t>1-22UEVAF</t>
  </si>
  <si>
    <t>深圳市宝安区西乡街道办事处</t>
  </si>
  <si>
    <t>1-3GPTNMQ</t>
  </si>
  <si>
    <t>深圳市城市管理局</t>
  </si>
  <si>
    <t>1-1KH5H09</t>
  </si>
  <si>
    <t>深圳市气象局（深圳市气象台）</t>
  </si>
  <si>
    <t>1-20BT1I6</t>
  </si>
  <si>
    <t>深圳市深能环保城市环境服务有限公司</t>
  </si>
  <si>
    <t>1-5AZJRZJ</t>
  </si>
  <si>
    <t>玉禾田环境发展集团股份有限公司</t>
  </si>
  <si>
    <t>1-10519733444</t>
  </si>
  <si>
    <t>深圳市大湾区发展中心</t>
  </si>
  <si>
    <t>1-675WVOZ</t>
  </si>
  <si>
    <t>唐勇10</t>
  </si>
  <si>
    <t>深圳市罗湖区东门街道办事处</t>
  </si>
  <si>
    <t>1-3V96BIH</t>
  </si>
  <si>
    <t>深圳市民政局</t>
  </si>
  <si>
    <t>1-3HWOQY9</t>
  </si>
  <si>
    <t>深圳市国家安全局</t>
  </si>
  <si>
    <t>1-1YUSV7F</t>
  </si>
  <si>
    <t>深圳市龙岗区吉华街道办事处</t>
  </si>
  <si>
    <t>1-2U3PBE4</t>
  </si>
  <si>
    <t>深圳市龙岗区园山街道办事处</t>
  </si>
  <si>
    <t>1-4MLDTK1</t>
  </si>
  <si>
    <t>深圳市坪山区龙田街道办事处（中共深圳市坪山区龙田街道工作委员会）</t>
  </si>
  <si>
    <t>1-3F7VT4V</t>
  </si>
  <si>
    <t>河套深港科技创新合作区深圳园区发展署</t>
  </si>
  <si>
    <t>1-85BUPMR</t>
  </si>
  <si>
    <t>深圳市福田区南园街道办事处</t>
  </si>
  <si>
    <t>1-43WJONZ</t>
  </si>
  <si>
    <t>深圳市市场监督管理局南山监管局</t>
  </si>
  <si>
    <t>1-45WFKGG</t>
  </si>
  <si>
    <t>深圳市盐田区国有资产监督管理局</t>
  </si>
  <si>
    <t>1-8GCAYDB</t>
  </si>
  <si>
    <t>国家税务总局深圳市税务局</t>
  </si>
  <si>
    <t>1-43KXI42</t>
  </si>
  <si>
    <t>深圳交易集团有限公司</t>
  </si>
  <si>
    <t>1-4YDO9IX</t>
  </si>
  <si>
    <t>深圳市产业园区综合服务中心</t>
  </si>
  <si>
    <t>1-8H1M5UH</t>
  </si>
  <si>
    <t>深圳市坪山区产业投资服务有限公司</t>
  </si>
  <si>
    <t>1-3FC1F3I</t>
  </si>
  <si>
    <t>深圳市福田区莲花街道办事处</t>
  </si>
  <si>
    <t>1-43WJOTN</t>
  </si>
  <si>
    <t>深圳市福田区梅林街道办事处</t>
  </si>
  <si>
    <t>1-43WJOQF</t>
  </si>
  <si>
    <t>深圳市西丽湖科教城投资运营有限公司</t>
  </si>
  <si>
    <t>1-7MBJFUB</t>
  </si>
  <si>
    <t>深圳市住房公积金管理中心</t>
  </si>
  <si>
    <t>1-2LKLRFS</t>
  </si>
  <si>
    <t>深圳市福田区华强北街道办事处</t>
  </si>
  <si>
    <t>1-43WJOSH</t>
  </si>
  <si>
    <t>深圳市机关事务管理局</t>
  </si>
  <si>
    <t>1-1H6PTY1</t>
  </si>
  <si>
    <t>深圳市计量质量检测研究院（集团）有限责任公司</t>
  </si>
  <si>
    <t>1-11657437054</t>
  </si>
  <si>
    <t>深圳市龙岗区龙城街道办事处</t>
  </si>
  <si>
    <t>1-4GHKKG7</t>
  </si>
  <si>
    <t>深圳市罗湖区政务服务数据管理局</t>
  </si>
  <si>
    <t>1-3GT1E38</t>
  </si>
  <si>
    <t>深圳市坪山区坪山街道办事处（中共深圳市坪山区坪山街道工作委员会）</t>
  </si>
  <si>
    <t>1-3F7VT2F</t>
  </si>
  <si>
    <t>深圳市坪山区石井街道办事处（中共深圳市坪山区石井街道工作委员会）</t>
  </si>
  <si>
    <t>1-31JYC78</t>
  </si>
  <si>
    <t>深圳市人工智能与机器人研究院</t>
  </si>
  <si>
    <t>1-9140104879</t>
  </si>
  <si>
    <t>深圳市市场监督管理局（深圳市知识产权局）</t>
  </si>
  <si>
    <t>1-2E1NDK</t>
  </si>
  <si>
    <t>中共深圳市委保密委员会办公室</t>
  </si>
  <si>
    <t>1-4HJD5S9</t>
  </si>
  <si>
    <t>深圳市罗山科技园创新中心开发有限公司</t>
  </si>
  <si>
    <t>1-8HC0ASY</t>
  </si>
  <si>
    <t>中国电信股份有限公司深圳分公司</t>
  </si>
  <si>
    <t>1-1PKZ3</t>
  </si>
  <si>
    <t>刘骏86</t>
  </si>
  <si>
    <t>深圳市规划和自然资源局（深圳市海洋渔业局、深圳市林业局）</t>
  </si>
  <si>
    <t>1-3V2BDCX</t>
  </si>
  <si>
    <t>深圳市天威视讯股份有限公司</t>
  </si>
  <si>
    <t>1-1NY6E</t>
  </si>
  <si>
    <t>深圳市福田区应急管理局</t>
  </si>
  <si>
    <t>1-4FZYY3F</t>
  </si>
  <si>
    <t>深圳市城市公共安全技术研究院有限公司</t>
  </si>
  <si>
    <t>1-5982097273</t>
  </si>
  <si>
    <t>龙华区政务服务数据管理局</t>
  </si>
  <si>
    <t>1-3TUPONF</t>
  </si>
  <si>
    <t>深圳市南山区应急管理局</t>
  </si>
  <si>
    <t>1-3T33U9N</t>
  </si>
  <si>
    <t>深圳市前海深港现代服务业合作区管理局</t>
  </si>
  <si>
    <t>1-1MWXDSH</t>
  </si>
  <si>
    <t>中国铁塔股份有限公司深圳市分公司</t>
  </si>
  <si>
    <t>1-46A9VRN</t>
  </si>
  <si>
    <t>深圳市福田区政府物业管理中心</t>
  </si>
  <si>
    <t>1-511A9VF</t>
  </si>
  <si>
    <t>深圳市光明区玉塘街道办事处</t>
  </si>
  <si>
    <t>1-3442SC7</t>
  </si>
  <si>
    <t>深圳市龙岗区应急管理局</t>
  </si>
  <si>
    <t>1-430ALT3</t>
  </si>
  <si>
    <t>深圳市南山区数字政府建设管理局（深圳市南山区政务服务局）</t>
  </si>
  <si>
    <t>1-39R1XSI</t>
  </si>
  <si>
    <t>广东省深圳市南山区南头街道办事处</t>
  </si>
  <si>
    <t>1-4GGOG05</t>
  </si>
  <si>
    <t>深圳市龙华区民治街道办事处</t>
  </si>
  <si>
    <t>1-2HMQOJY</t>
  </si>
  <si>
    <t>深圳市南山区沙河街道办事处</t>
  </si>
  <si>
    <t>1-4GGOG1X</t>
  </si>
  <si>
    <t>广东省深圳市南山区西丽街道办事处</t>
  </si>
  <si>
    <t>1-4GGOG14</t>
  </si>
  <si>
    <t>广东省深圳市南山区粤海街道办事处</t>
  </si>
  <si>
    <t>1-4GGOG4F</t>
  </si>
  <si>
    <t>深圳市宝安区应急管理局</t>
  </si>
  <si>
    <t>1-2ADVYJQ</t>
  </si>
  <si>
    <t>深圳市光明区应急管理局</t>
  </si>
  <si>
    <t>1-47K2H5Z</t>
  </si>
  <si>
    <t>深圳市龙华区福城街道办事处</t>
  </si>
  <si>
    <t>1-3FC2RMY</t>
  </si>
  <si>
    <t>深圳市龙华区龙华街道办事处</t>
  </si>
  <si>
    <t>1-372XYDM</t>
  </si>
  <si>
    <t>深圳市深汇通能源科技发展有限公司</t>
  </si>
  <si>
    <t>1-8H71BU1</t>
  </si>
  <si>
    <t>深圳市消防救援支队</t>
  </si>
  <si>
    <t>1-47KL9VD</t>
  </si>
  <si>
    <t>广东内伶仃福田国家级自然保护区管理局</t>
  </si>
  <si>
    <t>1-26DAL3V</t>
  </si>
  <si>
    <t>广东省深圳市南山区蛇口街道办事处</t>
  </si>
  <si>
    <t>1-4GGOG2V</t>
  </si>
  <si>
    <t>广东省深圳市南山区招商街道办事处</t>
  </si>
  <si>
    <t>1-4GGOG3N</t>
  </si>
  <si>
    <t>深圳市大鹏新区应急管理局</t>
  </si>
  <si>
    <t>1-46CPY6X</t>
  </si>
  <si>
    <t>深圳市光明区凤凰街道办事处（中共深圳市光明区凤凰街道工作委员会）</t>
  </si>
  <si>
    <t>1-2YVAGXI</t>
  </si>
  <si>
    <t>深圳市光明区建设发展集团有限公司</t>
  </si>
  <si>
    <t>1-7U8MQ07</t>
  </si>
  <si>
    <t>深圳市光明区科学城开发建设署</t>
  </si>
  <si>
    <t>1-4NWLNX9</t>
  </si>
  <si>
    <t>深圳市龙华区大浪街道办事处</t>
  </si>
  <si>
    <t>1-2K4HZ8L</t>
  </si>
  <si>
    <t>深圳市龙华区应急管理局</t>
  </si>
  <si>
    <t>1-47K2H6U</t>
  </si>
  <si>
    <t>深圳市南山区南山街道办事处</t>
  </si>
  <si>
    <t>1-4GGOFZ5</t>
  </si>
  <si>
    <t>深圳市南山区桃源街道办事处</t>
  </si>
  <si>
    <t>1-4GGOG5D</t>
  </si>
  <si>
    <t>深圳市龙华数据有限公司</t>
  </si>
  <si>
    <t>1-7OAVW33</t>
  </si>
  <si>
    <t>深圳市建筑工务署</t>
  </si>
  <si>
    <t>1-2H1TQM</t>
  </si>
  <si>
    <t>廖贝贝</t>
  </si>
  <si>
    <t>深圳市大鹏新区南澳街道办事处</t>
  </si>
  <si>
    <t>1-3CHO2G0</t>
  </si>
  <si>
    <t>深圳市海洋局</t>
  </si>
  <si>
    <t>1-ALLON-3108297</t>
  </si>
  <si>
    <t>深圳市福田区华富街道办事处</t>
  </si>
  <si>
    <t>1-43WJORL</t>
  </si>
  <si>
    <t>深圳市兰科植物保护研究中心</t>
  </si>
  <si>
    <t>1-8DIOVK1</t>
  </si>
  <si>
    <t>深圳市应急管理局</t>
  </si>
  <si>
    <t>1-3F6UV90</t>
  </si>
  <si>
    <t>深圳市光明区政务服务数据管理局</t>
  </si>
  <si>
    <t>1-3LYT2LF</t>
  </si>
  <si>
    <t>深圳市工业和信息化局</t>
  </si>
  <si>
    <t>1-3IMU39Z</t>
  </si>
  <si>
    <t>深圳市深汕特别合作区应急管理局</t>
  </si>
  <si>
    <t>1-3T579NJ</t>
  </si>
  <si>
    <t>深圳市政务服务数据管理局</t>
  </si>
  <si>
    <t>1-3TTZZ2I</t>
  </si>
  <si>
    <t>深汕特别合作区消防救援大队</t>
  </si>
  <si>
    <t>1-5AH8HBR</t>
  </si>
  <si>
    <t>深圳市福田区政务服务数据管理局</t>
  </si>
  <si>
    <t>1-3SM72WB</t>
  </si>
  <si>
    <t>深圳市龙岗区工业和信息化局（深圳市龙岗区商务局、深圳市龙岗区金融工作局）</t>
  </si>
  <si>
    <t>1-52UNW5X</t>
  </si>
  <si>
    <t>深圳市深汕特别合作区智慧城市建设管理服务中心</t>
  </si>
  <si>
    <t>1-3F7MUEN</t>
  </si>
  <si>
    <t>深圳市盐田区政务服务数据管理局</t>
  </si>
  <si>
    <t>1-40TUGPV</t>
  </si>
  <si>
    <t>深圳市智慧城市科技发展集团有限公司</t>
  </si>
  <si>
    <t>1-3V6FWWV</t>
  </si>
  <si>
    <t>深圳市龙岗区教育局</t>
  </si>
  <si>
    <t>1-1P0O8</t>
  </si>
  <si>
    <t>张岩27</t>
  </si>
  <si>
    <t>教育教学</t>
  </si>
  <si>
    <t>深圳市福田区教育局</t>
  </si>
  <si>
    <t>1-HQ-1044230</t>
  </si>
  <si>
    <t>深圳市福田区北京大学附属中学深圳学校（集团）黄埔学校</t>
  </si>
  <si>
    <t>1-1ELONLH</t>
  </si>
  <si>
    <t>深圳市罗湖区滨河实验中学</t>
  </si>
  <si>
    <t>1-4SBHDK8</t>
  </si>
  <si>
    <t>深圳市罗湖区教育局</t>
  </si>
  <si>
    <t>1-HQ-1041962</t>
  </si>
  <si>
    <t>深圳市桂园中学</t>
  </si>
  <si>
    <t>1-DRF-2819418</t>
  </si>
  <si>
    <t>深圳市螺岭外国语实验学校</t>
  </si>
  <si>
    <t>1-DRF-2811593</t>
  </si>
  <si>
    <t>深圳市翠园中学</t>
  </si>
  <si>
    <t>1-ALLON-3107116</t>
  </si>
  <si>
    <t>深圳市龙岗区龙城高级中学（深圳市龙岗区龙城高级中学（教育集团））</t>
  </si>
  <si>
    <t>1-6SA1YMT</t>
  </si>
  <si>
    <t>深圳明德实验学校</t>
  </si>
  <si>
    <t>1-DRF-2814538</t>
  </si>
  <si>
    <t>深圳市龙岗中等专业学校（深圳市龙岗区职业技术学校）</t>
  </si>
  <si>
    <t>1-DRF-2817681</t>
  </si>
  <si>
    <t>深圳市福田区劳动技术教育中心（深圳市福田区青少年科技活动中心）（深圳市福田区中小学生综合实践活动教育基地）</t>
  </si>
  <si>
    <t>1-1MAOO1I</t>
  </si>
  <si>
    <t>深圳市龙岗区深圳中学龙岗初级中学</t>
  </si>
  <si>
    <t>1-1KTTDUJ</t>
  </si>
  <si>
    <t>人大附中深圳学校</t>
  </si>
  <si>
    <t>1-4Y2U0EB</t>
  </si>
  <si>
    <t>深圳市平冈中学</t>
  </si>
  <si>
    <t>1-1FNUC2X</t>
  </si>
  <si>
    <t>深圳市大鹏新区教育和卫生健康局</t>
  </si>
  <si>
    <t>1-208BPUZ</t>
  </si>
  <si>
    <t>深圳市大鹏新区教育和卫生健康局工会委员会</t>
  </si>
  <si>
    <t>1-1M7KYKH</t>
  </si>
  <si>
    <t>深圳市莲南小学</t>
  </si>
  <si>
    <t>1-4NWQS2A</t>
  </si>
  <si>
    <t>深圳市罗湖区翠园东晓中学</t>
  </si>
  <si>
    <t>1-7MCADW3</t>
  </si>
  <si>
    <t>深圳市坪山区教育局</t>
  </si>
  <si>
    <t>1-1M41GZR</t>
  </si>
  <si>
    <t>深圳市盐田区教育局</t>
  </si>
  <si>
    <t>1-HQ-1045286</t>
  </si>
  <si>
    <t>中共深圳市龙华区委教育工作委员会</t>
  </si>
  <si>
    <t>1-8TV6RD7</t>
  </si>
  <si>
    <t>深圳市档案局</t>
  </si>
  <si>
    <t>1-DRF-2814088</t>
  </si>
  <si>
    <t>王茜</t>
  </si>
  <si>
    <t>深圳市深圳中学</t>
  </si>
  <si>
    <t>1-ALLON-3103207</t>
  </si>
  <si>
    <t>深圳市教育局</t>
  </si>
  <si>
    <t>1-HQ-1043097</t>
  </si>
  <si>
    <t>深圳市第二高级中学（深圳市中小学艺术教育基地）</t>
  </si>
  <si>
    <t>1-DRF-2814042</t>
  </si>
  <si>
    <t>深圳市实验学校</t>
  </si>
  <si>
    <t>1-DRF-2820627</t>
  </si>
  <si>
    <t>深圳大学附属中学</t>
  </si>
  <si>
    <t>141016</t>
  </si>
  <si>
    <t>深圳市体育中心运营管理有限公司</t>
  </si>
  <si>
    <t>1-4TET3RJ</t>
  </si>
  <si>
    <t>深圳外国语学校</t>
  </si>
  <si>
    <t>1-1DIXLKZ</t>
  </si>
  <si>
    <t>深圳外国语学校龙华学校</t>
  </si>
  <si>
    <t>1-2ZBDW2Q</t>
  </si>
  <si>
    <t>深圳市高级中学</t>
  </si>
  <si>
    <t>1-DRF-2811177</t>
  </si>
  <si>
    <t>深圳科学高中</t>
  </si>
  <si>
    <t>1-DRF-2822270</t>
  </si>
  <si>
    <t>深圳出版集团有限公司</t>
  </si>
  <si>
    <t>1-1KBFQSH</t>
  </si>
  <si>
    <t>鹏城实验室</t>
  </si>
  <si>
    <t>1-3LSS677</t>
  </si>
  <si>
    <t>深圳第二外国语学校</t>
  </si>
  <si>
    <t>143307</t>
  </si>
  <si>
    <t>深圳市医疗保障局</t>
  </si>
  <si>
    <t>1-4IYA6W1</t>
  </si>
  <si>
    <t>星徽联（深圳）数据科技有限公司</t>
  </si>
  <si>
    <t>1-8S5M8VX</t>
  </si>
  <si>
    <t>深圳市南山区教育局</t>
  </si>
  <si>
    <t>1-HQ-1045024</t>
  </si>
  <si>
    <t>刘羽欣</t>
  </si>
  <si>
    <t>深圳市宝安中学（集团）</t>
  </si>
  <si>
    <t>1-2UC7J5U</t>
  </si>
  <si>
    <t>深圳市龙华区教育局</t>
  </si>
  <si>
    <t>1-1PAHMFV</t>
  </si>
  <si>
    <t>深圳市宝安区教育局</t>
  </si>
  <si>
    <t>1-1P0NS</t>
  </si>
  <si>
    <t>深圳市新安中学（集团）</t>
  </si>
  <si>
    <t>1-6GXF9LZ</t>
  </si>
  <si>
    <t>深圳市龙华区外国语学校</t>
  </si>
  <si>
    <t>1-5C68NEW</t>
  </si>
  <si>
    <t>深圳市光明区教育局</t>
  </si>
  <si>
    <t>1-1PAHMHG</t>
  </si>
  <si>
    <t>深圳市龙华新区新华中学</t>
  </si>
  <si>
    <t>1-DRF-2818337</t>
  </si>
  <si>
    <t>南方科技大学附属中学</t>
  </si>
  <si>
    <t>1-4UDVFFA</t>
  </si>
  <si>
    <t>南方科技大学教育集团（南山）</t>
  </si>
  <si>
    <t>1-5C3YDA3</t>
  </si>
  <si>
    <t>深圳市南山区教育科学研究院（深圳市南山区教师发展中心）</t>
  </si>
  <si>
    <t>1-7MBOU47</t>
  </si>
  <si>
    <t>深圳市光明区光明中学</t>
  </si>
  <si>
    <t>1-1LDEC0T</t>
  </si>
  <si>
    <t>深圳市光明新区长圳学校</t>
  </si>
  <si>
    <t>1-DRF-2825386</t>
  </si>
  <si>
    <t>深圳市南山实验教育集团</t>
  </si>
  <si>
    <t>1-2UC7J6P</t>
  </si>
  <si>
    <t>深圳市南山外国语学校（集团）</t>
  </si>
  <si>
    <t>1-2UC7J7H</t>
  </si>
  <si>
    <t>深圳市蛇口育才教育集团</t>
  </si>
  <si>
    <t>1-1LDS0GB</t>
  </si>
  <si>
    <t>深圳市宝安区西乡中学</t>
  </si>
  <si>
    <t>1-1YHJHAL</t>
  </si>
  <si>
    <t>深圳市红山中学</t>
  </si>
  <si>
    <t>1-69HSZQJ</t>
  </si>
  <si>
    <t>深圳市龙华区教育科学研究院</t>
  </si>
  <si>
    <t>1-482SEU9</t>
  </si>
  <si>
    <t>深圳市南山区哈尔滨工业大学（深圳）实验学校</t>
  </si>
  <si>
    <t>1-7NZLXAB</t>
  </si>
  <si>
    <t>深圳市南头中学</t>
  </si>
  <si>
    <t>1-4MKKJR3</t>
  </si>
  <si>
    <t>深圳大学附属教育集团</t>
  </si>
  <si>
    <t>1-7JH5XQD</t>
  </si>
  <si>
    <t>深圳市南山区文理实验学校（集团）文理二小</t>
  </si>
  <si>
    <t>1-69HYLUN</t>
  </si>
  <si>
    <t>深圳市龙华区文化广电旅游体育局</t>
  </si>
  <si>
    <t>1-5037JG5</t>
  </si>
  <si>
    <t>刘向文5</t>
  </si>
  <si>
    <t>文体卫</t>
  </si>
  <si>
    <t>深圳博物馆</t>
  </si>
  <si>
    <t>1-1KTYTPN</t>
  </si>
  <si>
    <t>深圳市盐田区卫生健康局</t>
  </si>
  <si>
    <t>1-2263JA2</t>
  </si>
  <si>
    <t>深圳市文化馆</t>
  </si>
  <si>
    <t>1-1ZAL80G</t>
  </si>
  <si>
    <t>深圳市盐田区文化体育局</t>
  </si>
  <si>
    <t>1-1UJJSRU</t>
  </si>
  <si>
    <t>深圳图书馆</t>
  </si>
  <si>
    <t>1-1N00II0</t>
  </si>
  <si>
    <t>中旅数智科技（深圳）有限公司</t>
  </si>
  <si>
    <t>1-8JO911N</t>
  </si>
  <si>
    <t>深圳市光明区文化广电旅游体育局</t>
  </si>
  <si>
    <t>1-5XZMUG2</t>
  </si>
  <si>
    <t>深圳市文化广电旅游体育局（深圳市文物局）</t>
  </si>
  <si>
    <t>1-1MT6TEU</t>
  </si>
  <si>
    <t>深圳市金联和投资集团有限公司</t>
  </si>
  <si>
    <t>1-8FAOR3D</t>
  </si>
  <si>
    <t>深圳市罗湖区文化广电旅游体育局</t>
  </si>
  <si>
    <t>1-25KWV7B</t>
  </si>
  <si>
    <t>深圳广播电影电视集团</t>
  </si>
  <si>
    <t>1-1KZDESX</t>
  </si>
  <si>
    <t>深圳市宝安区体育中心</t>
  </si>
  <si>
    <t>1-2PTYJL4</t>
  </si>
  <si>
    <t>深圳市野生动物园有限公司</t>
  </si>
  <si>
    <t>1-DRFT-2986304</t>
  </si>
  <si>
    <t>何香凝美术馆</t>
  </si>
  <si>
    <t>1-477GQ0N</t>
  </si>
  <si>
    <t>深圳美术馆</t>
  </si>
  <si>
    <t>1-20ANQNO</t>
  </si>
  <si>
    <t>深圳市宝安区卫生健康局</t>
  </si>
  <si>
    <t>1-1XMHULC</t>
  </si>
  <si>
    <t>深圳市特发小梅沙旅游发展有限公司</t>
  </si>
  <si>
    <t>1-4RDPEE1</t>
  </si>
  <si>
    <t>中建科工集团有限公司</t>
  </si>
  <si>
    <t>1-10468571167</t>
  </si>
  <si>
    <t>深圳科新传媒文化有限公司</t>
  </si>
  <si>
    <t>1-8NGPC83</t>
  </si>
  <si>
    <t>深圳市光明区卫生健康局</t>
  </si>
  <si>
    <t>1-20C16CP</t>
  </si>
  <si>
    <t>深圳市龙岗区文化广电旅游体育局</t>
  </si>
  <si>
    <t>1-5B5VAK3</t>
  </si>
  <si>
    <t>深圳市龙华区卫生健康局</t>
  </si>
  <si>
    <t>1-45KJXOF</t>
  </si>
  <si>
    <t>深圳市南山区文化广电旅游体育局</t>
  </si>
  <si>
    <t>1-7MENYCD</t>
  </si>
  <si>
    <t>深圳市坪山区文化广电旅游体育局</t>
  </si>
  <si>
    <t>1-3TMSN0P</t>
  </si>
  <si>
    <t>深圳市体育产业集团有限公司</t>
  </si>
  <si>
    <t>1-86U800D</t>
  </si>
  <si>
    <t>南方科技大学</t>
  </si>
  <si>
    <t>1-HQ-1041944</t>
  </si>
  <si>
    <t>李功</t>
  </si>
  <si>
    <t>深圳大学</t>
  </si>
  <si>
    <t>128536</t>
  </si>
  <si>
    <t>深圳技师学院（深圳高级技工学校）</t>
  </si>
  <si>
    <t>1-DRF-2818391</t>
  </si>
  <si>
    <t>深圳鹏城技师学院</t>
  </si>
  <si>
    <t>1-51U4HPX</t>
  </si>
  <si>
    <t>中山大学·深圳</t>
  </si>
  <si>
    <t>1-20AHXZ9</t>
  </si>
  <si>
    <t>深圳职业技术大学</t>
  </si>
  <si>
    <t>1-HQ-1044416</t>
  </si>
  <si>
    <t>清华大学深圳国际研究生院</t>
  </si>
  <si>
    <t>1-1N1JLYR</t>
  </si>
  <si>
    <t>深圳北理莫斯科大学</t>
  </si>
  <si>
    <t>1-1ZB9NV9</t>
  </si>
  <si>
    <t>深圳大学城</t>
  </si>
  <si>
    <t>1-1ZWHH09</t>
  </si>
  <si>
    <t>深圳技术大学</t>
  </si>
  <si>
    <t>1-20ANQKE</t>
  </si>
  <si>
    <t>中国科学院深圳先进技术研究院</t>
  </si>
  <si>
    <t>1-131456132</t>
  </si>
  <si>
    <t>深圳市华强职业技术学校</t>
  </si>
  <si>
    <t>1-DRF-2813463</t>
  </si>
  <si>
    <t>深圳市育新学校（深圳市中小学德育基地、深圳市新鹏职业高级中学）</t>
  </si>
  <si>
    <t>1-1U4MNBJ</t>
  </si>
  <si>
    <t>深圳信息职业技术学院</t>
  </si>
  <si>
    <t>142805</t>
  </si>
  <si>
    <t>深圳中国计量科学研究院技术创新研究院</t>
  </si>
  <si>
    <t>1-6OUCJWH</t>
  </si>
  <si>
    <t>香港中文大学（深圳）</t>
  </si>
  <si>
    <t>1-DRF-2817596</t>
  </si>
  <si>
    <t>哈尔滨工业大学（深圳）（哈尔滨工业大学深圳科技创新研究院）</t>
  </si>
  <si>
    <t>1-1P63VZF</t>
  </si>
  <si>
    <t>深圳市沙井职业高级中学</t>
  </si>
  <si>
    <t>1-7J1YVIB</t>
  </si>
  <si>
    <t>深圳市体育运动学校（深圳市体育实验学校）</t>
  </si>
  <si>
    <t>1-4PE81Y9</t>
  </si>
  <si>
    <t>深圳湾实验室</t>
  </si>
  <si>
    <t>1-68P1FCD</t>
  </si>
  <si>
    <t>天津大学佐治亚理工深圳学院</t>
  </si>
  <si>
    <t>1-30OXEI2</t>
  </si>
  <si>
    <t>中国科学院深圳理工大学深圳校区</t>
  </si>
  <si>
    <t>1-4ZRO4KL</t>
  </si>
  <si>
    <t>北京大学深圳医院（北京大学深圳临床医学院）</t>
  </si>
  <si>
    <t>1-HQ-1042268</t>
  </si>
  <si>
    <t>黄子懿</t>
  </si>
  <si>
    <t>深圳市妇幼保健院（深圳市婴幼儿照护服务指导中心、深圳市妇幼医学研究所）</t>
  </si>
  <si>
    <t>1-HQ-1042254</t>
  </si>
  <si>
    <t>深圳市龙岗区第二人民医院</t>
  </si>
  <si>
    <t>1-4MNVLQ3</t>
  </si>
  <si>
    <t>深圳市卫生健康委员会</t>
  </si>
  <si>
    <t>1-46R1XAN</t>
  </si>
  <si>
    <t>中国医学科学院阜外医院深圳医院（深圳市孙逸仙心血管医院）</t>
  </si>
  <si>
    <t>1-2CWCFU</t>
  </si>
  <si>
    <t>中山大学附属第七医院（深圳）</t>
  </si>
  <si>
    <t>1-2GCBF0M</t>
  </si>
  <si>
    <t>北京中医药大学深圳医院（龙岗）（深圳市龙岗区中医院）</t>
  </si>
  <si>
    <t>1-3COK3X2</t>
  </si>
  <si>
    <t>深圳市宝安区中医院</t>
  </si>
  <si>
    <t>1-ALLON-3105270</t>
  </si>
  <si>
    <t>深圳市疾病预防控制中心（深圳市卫生监督局、深圳市卫生检验中心、深圳市预防医学研究所）</t>
  </si>
  <si>
    <t>1-20C16AP</t>
  </si>
  <si>
    <t>深圳市人民医院（深圳市呼吸疾病研究所）</t>
  </si>
  <si>
    <t>1-HQ-1042614</t>
  </si>
  <si>
    <t>中国医学科学院肿瘤医院深圳医院</t>
  </si>
  <si>
    <t>1-3CZCN54</t>
  </si>
  <si>
    <t>深圳市盐田区人民医院</t>
  </si>
  <si>
    <t>1-3GEA5VH</t>
  </si>
  <si>
    <t>深圳市第三人民医院</t>
  </si>
  <si>
    <t>1-2NCQ2R2</t>
  </si>
  <si>
    <t>深圳市坪山区人民医院</t>
  </si>
  <si>
    <t>1-6107YWZ</t>
  </si>
  <si>
    <t>香港中文大学（深圳）医院</t>
  </si>
  <si>
    <t>1-8IQT5AJ</t>
  </si>
  <si>
    <t>深圳理工大学总医院（深圳市光明区人民医院、深圳市光明科学城医院、深圳理工大学总医院互联网医院）</t>
  </si>
  <si>
    <t>1-33S14LO</t>
  </si>
  <si>
    <t>深圳市宝安区中心医院</t>
  </si>
  <si>
    <t>1-4W80T07</t>
  </si>
  <si>
    <t>深圳市儿童医院</t>
  </si>
  <si>
    <t>1-HQ-1044796</t>
  </si>
  <si>
    <t>深圳市龙岗区第四人民医院</t>
  </si>
  <si>
    <t>1-2ROI27E</t>
  </si>
  <si>
    <t>深圳市前海蛇口自贸区医院（深圳市南山区蛇口人民医院）</t>
  </si>
  <si>
    <t>1-2Q77R50</t>
  </si>
  <si>
    <t>香港大学深圳医院（深圳市滨海医院）</t>
  </si>
  <si>
    <t>1-1PAFXJN</t>
  </si>
  <si>
    <t>深圳市宝安区福永人民医院</t>
  </si>
  <si>
    <t>1-ALLON-3103651</t>
  </si>
  <si>
    <t>深圳市龙岗区人民医院</t>
  </si>
  <si>
    <t>1-207U1KO</t>
  </si>
  <si>
    <t>深圳市罗湖区妇幼保健院</t>
  </si>
  <si>
    <t>1-6UGQ1H9</t>
  </si>
  <si>
    <t>深圳市松岗人民医院</t>
  </si>
  <si>
    <t>1-1KTTZGT</t>
  </si>
  <si>
    <t>深圳市中西医结合医院</t>
  </si>
  <si>
    <t>1-2MJRL67</t>
  </si>
  <si>
    <t>深圳市大鹏新区妇幼保健院</t>
  </si>
  <si>
    <t>1-68NDOVP</t>
  </si>
  <si>
    <t>深圳市第二人民医院（深圳市转化医学研究院）</t>
  </si>
  <si>
    <t>1-1IERYV1</t>
  </si>
  <si>
    <t>深圳市第三儿童医院</t>
  </si>
  <si>
    <t>1-8QRINZN</t>
  </si>
  <si>
    <t>深圳市急救中心</t>
  </si>
  <si>
    <t>1-2GFR3</t>
  </si>
  <si>
    <t>深圳市龙岗区耳鼻咽喉医院</t>
  </si>
  <si>
    <t>1-2AA49P9</t>
  </si>
  <si>
    <t>深圳市龙岗中心医院（深圳市龙岗中心医院集团、深圳市第九人民医院、深圳市龙岗中心医院针灸研究所、深圳市龙岗中心医院肌骨超声研究所）</t>
  </si>
  <si>
    <t>1-1RRRJWB</t>
  </si>
  <si>
    <t>深圳市龙华区人民医院</t>
  </si>
  <si>
    <t>1-4HWPCH3</t>
  </si>
  <si>
    <t>深圳市食品药品监督管理局工会委员会</t>
  </si>
  <si>
    <t>1-1MSMJYR</t>
  </si>
  <si>
    <t>深圳市眼科医院</t>
  </si>
  <si>
    <t>1-1S1YY8F</t>
  </si>
  <si>
    <t>深圳市中医院</t>
  </si>
  <si>
    <t>1-1KBG2IN</t>
  </si>
  <si>
    <t>中山大学附属第八医院</t>
  </si>
  <si>
    <t>1-ALLON-3107191</t>
  </si>
  <si>
    <t>深圳市南山区人民医院</t>
  </si>
  <si>
    <t>1-HQ-1044053</t>
  </si>
  <si>
    <t>中华人民共和国深圳海关</t>
  </si>
  <si>
    <t>1-2AGTGP</t>
  </si>
  <si>
    <t>刘冬6</t>
  </si>
  <si>
    <t>深圳市公安局监所管理支队（深圳市公安局监所管理局）</t>
  </si>
  <si>
    <t>1-1PKXN</t>
  </si>
  <si>
    <t>中广核工程有限公司</t>
  </si>
  <si>
    <t>1-3016627051</t>
  </si>
  <si>
    <t>深圳市人民政府口岸办公室</t>
  </si>
  <si>
    <t>1-DRF-2818704</t>
  </si>
  <si>
    <t>中华人民共和国深圳出入境边防检查总站</t>
  </si>
  <si>
    <t>1-1KJNAQW</t>
  </si>
  <si>
    <t>大亚湾核电运营管理有限责任公司</t>
  </si>
  <si>
    <t>1-4XT42X9</t>
  </si>
  <si>
    <t>广东省深圳监狱</t>
  </si>
  <si>
    <t>1-C7MR6I</t>
  </si>
  <si>
    <t>中广核服务集团有限公司</t>
  </si>
  <si>
    <t>1-DRFT-2987017</t>
  </si>
  <si>
    <t>深圳海关缉私局</t>
  </si>
  <si>
    <t>1-1DL948V</t>
  </si>
  <si>
    <t>中国人民解放军驻香港部队</t>
  </si>
  <si>
    <t>1-DRF-2813005</t>
  </si>
  <si>
    <t>深圳市机场国际快件海关监管中心有限公司</t>
  </si>
  <si>
    <t>1-5QJLLDP</t>
  </si>
  <si>
    <t>深圳市司法局</t>
  </si>
  <si>
    <t>1-DRF-2823328</t>
  </si>
  <si>
    <t>中国广东核电集团有限公司</t>
  </si>
  <si>
    <t>1-62061772</t>
  </si>
  <si>
    <t>中华人民共和国皇岗出入境边防检查站</t>
  </si>
  <si>
    <t>1-JT-1155331</t>
  </si>
  <si>
    <t>深圳海警局</t>
  </si>
  <si>
    <t>1-69EPZER</t>
  </si>
  <si>
    <t>深圳市特发口岸服务有限公司</t>
  </si>
  <si>
    <t>1-6929XTR</t>
  </si>
  <si>
    <t>武警深圳第一支队</t>
  </si>
  <si>
    <t>1-1Z46UVH</t>
  </si>
  <si>
    <t>中广核研究院有限公司</t>
  </si>
  <si>
    <t>1-2R6QA17</t>
  </si>
  <si>
    <t>深圳市龙华区人民检察院</t>
  </si>
  <si>
    <t>1-356C84V</t>
  </si>
  <si>
    <t>柯俊鑫</t>
  </si>
  <si>
    <t>中国共产党深圳市纪律检查委员会</t>
  </si>
  <si>
    <t>1-1V89RUF</t>
  </si>
  <si>
    <t>深圳市坪山区人民法院</t>
  </si>
  <si>
    <t>1-356C8AQ</t>
  </si>
  <si>
    <t>深圳市龙华区人民法院</t>
  </si>
  <si>
    <t>1-356C89V</t>
  </si>
  <si>
    <t>深圳市坪山区人民检察院</t>
  </si>
  <si>
    <t>1-3372VGZ</t>
  </si>
  <si>
    <t>深圳市龙岗区人民法院</t>
  </si>
  <si>
    <t>1-DRFT-2986320</t>
  </si>
  <si>
    <t>深圳市中级人民法院</t>
  </si>
  <si>
    <t>1-ALLON-3104676</t>
  </si>
  <si>
    <t>中国共产党深圳市龙岗区纪律检查委员会</t>
  </si>
  <si>
    <t>1-457ZJEM</t>
  </si>
  <si>
    <t>深圳市人民检察院</t>
  </si>
  <si>
    <t>1-1P52U8R</t>
  </si>
  <si>
    <t>深圳市南山区人民法院</t>
  </si>
  <si>
    <t>1-1DIU8YK</t>
  </si>
  <si>
    <t>深圳前海合作区人民法院</t>
  </si>
  <si>
    <t>1-1N0MXFU</t>
  </si>
  <si>
    <t>深圳市福田区人民法院</t>
  </si>
  <si>
    <t>1-R9ND70</t>
  </si>
  <si>
    <t>深圳市考试院</t>
  </si>
  <si>
    <t>1-6E0SXT6</t>
  </si>
  <si>
    <t>深圳市罗湖区人民法院</t>
  </si>
  <si>
    <t>1-ESQVY4</t>
  </si>
  <si>
    <t>中共深圳市坪山区纪律检查委员会（深圳市坪山区监察委员会）</t>
  </si>
  <si>
    <t>1-457ZJJU</t>
  </si>
  <si>
    <t>中国共产党深圳市南山区纪律检查委员会（深圳市南山区监察局）</t>
  </si>
  <si>
    <t>1-44XEZ7I</t>
  </si>
  <si>
    <t>盐田国际集装箱码头有限公司</t>
  </si>
  <si>
    <t>1-1M459YV</t>
  </si>
  <si>
    <t>肖力</t>
  </si>
  <si>
    <t>深圳巴士集团股份有限公司</t>
  </si>
  <si>
    <t>1-3HZVUC</t>
  </si>
  <si>
    <t>招商局港口集团股份有限公司</t>
  </si>
  <si>
    <t>1-3FASSLO</t>
  </si>
  <si>
    <t>深圳市深圳港海洋发展有限公司</t>
  </si>
  <si>
    <t>1-1EX492Q</t>
  </si>
  <si>
    <t>深圳高速运营发展有限公司</t>
  </si>
  <si>
    <t>1-3XKJSVV</t>
  </si>
  <si>
    <t>深圳市东部公共交通有限公司</t>
  </si>
  <si>
    <t>1-3IFOIE</t>
  </si>
  <si>
    <t>广东盐田港深汕港口投资有限公司</t>
  </si>
  <si>
    <t>1-3T3Z2ZP</t>
  </si>
  <si>
    <t>深圳市地上铁新能源汽车运营有限公司</t>
  </si>
  <si>
    <t>1-7NFW76F</t>
  </si>
  <si>
    <t>深圳市盐田港股份有限公司</t>
  </si>
  <si>
    <t>1-39L6VLI</t>
  </si>
  <si>
    <t>蛇口集装箱码头有限公司</t>
  </si>
  <si>
    <t>1-1LRTIXX</t>
  </si>
  <si>
    <t>深圳高速公路集团股份有限公司</t>
  </si>
  <si>
    <t>1-DRFT-2985982</t>
  </si>
  <si>
    <t>深圳高速建设发展有限公司</t>
  </si>
  <si>
    <t>1-62DKOHX</t>
  </si>
  <si>
    <t>深圳惠盐高速公路有限公司</t>
  </si>
  <si>
    <t>1-34QL55W</t>
  </si>
  <si>
    <t>深圳招商蛇口国际邮轮母港有限公司</t>
  </si>
  <si>
    <t>1-4IPMAEM</t>
  </si>
  <si>
    <t>深圳高速工程发展有限公司</t>
  </si>
  <si>
    <t>1-7TUS3BH</t>
  </si>
  <si>
    <t>深圳海星港口发展有限公司</t>
  </si>
  <si>
    <t>1-1MZXQ1D</t>
  </si>
  <si>
    <t>深圳市外环高速公路投资有限公司</t>
  </si>
  <si>
    <t>1-46EONJ5</t>
  </si>
  <si>
    <t>盐田港国际资讯有限公司</t>
  </si>
  <si>
    <t>1-75WL1D1</t>
  </si>
  <si>
    <t>招商局集团有限公司</t>
  </si>
  <si>
    <t>1-30PYRED</t>
  </si>
  <si>
    <t>深圳鹏程电动集团有限公司</t>
  </si>
  <si>
    <t>1-3GR2F8D</t>
  </si>
  <si>
    <t>深圳地铁建设集团有限公司</t>
  </si>
  <si>
    <t>1-3YAN10H</t>
  </si>
  <si>
    <t>文波5</t>
  </si>
  <si>
    <t>深圳铁路投资建设集团有限公司</t>
  </si>
  <si>
    <t>1-4GWMQAZ</t>
  </si>
  <si>
    <t>深圳地铁运营集团有限公司</t>
  </si>
  <si>
    <t>1-4H58PCK</t>
  </si>
  <si>
    <t>深圳市地铁集团有限公司</t>
  </si>
  <si>
    <t>1-2JOL0</t>
  </si>
  <si>
    <t>港铁中铁电化轨道交通（深圳）有限公司</t>
  </si>
  <si>
    <t>1-63MFYXR</t>
  </si>
  <si>
    <t>深圳地铁物业管理发展有限公司</t>
  </si>
  <si>
    <t>1-1EOZTO9</t>
  </si>
  <si>
    <t>广深铁路股份有限公司</t>
  </si>
  <si>
    <t>1-DRF-2823158</t>
  </si>
  <si>
    <t>深圳市市政设计研究院有限公司</t>
  </si>
  <si>
    <t>1-22CVI3D</t>
  </si>
  <si>
    <t>深圳市建材交易集团有限公司</t>
  </si>
  <si>
    <t>1-4Z94RX0</t>
  </si>
  <si>
    <t>深圳中车轨道车辆有限公司</t>
  </si>
  <si>
    <t>1-3KR09J1</t>
  </si>
  <si>
    <t>深圳市交通运输局南山管理局</t>
  </si>
  <si>
    <t>1-2UK2BBY</t>
  </si>
  <si>
    <t>王魁8</t>
  </si>
  <si>
    <t>深圳市交通公用设施建设中心</t>
  </si>
  <si>
    <t>1-25NMR5Z</t>
  </si>
  <si>
    <t>深圳市交通运输局（深圳市港务管理局）</t>
  </si>
  <si>
    <t>1-3GR2F56</t>
  </si>
  <si>
    <t>中华人民共和国深圳海事局</t>
  </si>
  <si>
    <t>1-1DKUC41</t>
  </si>
  <si>
    <t>深圳市交通运输局盐田管理局</t>
  </si>
  <si>
    <t>1-2UK2BGX</t>
  </si>
  <si>
    <t>深圳市交通运输局大鹏管理局</t>
  </si>
  <si>
    <t>1-2UK6OWK</t>
  </si>
  <si>
    <t>深圳市交通公用设施管理局（深圳市公路管理局）</t>
  </si>
  <si>
    <t>1-2JVIUJO</t>
  </si>
  <si>
    <t>深圳市交通运输局宝安管理局</t>
  </si>
  <si>
    <t>1-1MZTQ5X</t>
  </si>
  <si>
    <t>深圳市交通运输局福田管理局</t>
  </si>
  <si>
    <t>1-2UK2BB8</t>
  </si>
  <si>
    <t>深圳市前海建设投资控股集团有限公司</t>
  </si>
  <si>
    <t>1-DRF-2822846</t>
  </si>
  <si>
    <t>深圳市吉利优行科技有限公司</t>
  </si>
  <si>
    <t>1-6DVPK2N</t>
  </si>
  <si>
    <t>深圳市交通运输局光明管理局</t>
  </si>
  <si>
    <t>1-2UK6OV6</t>
  </si>
  <si>
    <t>深圳市交通运输局龙岗管理局</t>
  </si>
  <si>
    <t>1-2UK6OEI</t>
  </si>
  <si>
    <t>深圳市交通运输局龙华管理局</t>
  </si>
  <si>
    <t>1-1MS1WF7</t>
  </si>
  <si>
    <t>深圳市交通运输行政执法支队</t>
  </si>
  <si>
    <t>1-22CVI0L</t>
  </si>
  <si>
    <t>深圳市路桥建设集团有限公司</t>
  </si>
  <si>
    <t>1-2SZ5O1J</t>
  </si>
  <si>
    <t>深圳市综合交通运行指挥中心</t>
  </si>
  <si>
    <t>1-2RRZ3PA</t>
  </si>
  <si>
    <t>深圳市交通运输局坪山管理局</t>
  </si>
  <si>
    <t>1-2UK6OVV</t>
  </si>
  <si>
    <t>广东粤海水务股份有限公司</t>
  </si>
  <si>
    <t>1-20H8XC8</t>
  </si>
  <si>
    <t>林若驹</t>
  </si>
  <si>
    <t>行业二部-水务</t>
  </si>
  <si>
    <t>深圳市水务（集团）有限公司</t>
  </si>
  <si>
    <t>1-DRF-2815277</t>
  </si>
  <si>
    <t>深圳市水务局</t>
  </si>
  <si>
    <t>1-3GDP9</t>
  </si>
  <si>
    <t>深圳市大鹏新区水务局</t>
  </si>
  <si>
    <t>1-5BMQ65P</t>
  </si>
  <si>
    <t>深圳市龙岗区水务局</t>
  </si>
  <si>
    <t>1-DRF-2813185</t>
  </si>
  <si>
    <t>深圳市坪山区水务局</t>
  </si>
  <si>
    <t>1-37D1GZY</t>
  </si>
  <si>
    <t>深圳市深水宝安水务集团有限公司</t>
  </si>
  <si>
    <t>1-1W9WLFJ</t>
  </si>
  <si>
    <t>广东粤港供水有限公司</t>
  </si>
  <si>
    <t>1-DRF-2814164</t>
  </si>
  <si>
    <t>深圳市深水龙岗水务集团有限公司</t>
  </si>
  <si>
    <t>1-4UCNTLL</t>
  </si>
  <si>
    <t>深圳市宝安区水务局</t>
  </si>
  <si>
    <t>1-1P51DO5</t>
  </si>
  <si>
    <t>深圳市光明区水务局</t>
  </si>
  <si>
    <t>1-39Q2E19</t>
  </si>
  <si>
    <t>深圳市龙华区水务局</t>
  </si>
  <si>
    <t>1-39JOHHK</t>
  </si>
  <si>
    <t>深圳市深水光明水务有限公司</t>
  </si>
  <si>
    <t>1-28NOIF9</t>
  </si>
  <si>
    <t>深圳市南山区水务局</t>
  </si>
  <si>
    <t>1-6BEBNBT</t>
  </si>
  <si>
    <t>深圳市深水龙华水务有限公司</t>
  </si>
  <si>
    <t>1-2DGRMW7</t>
  </si>
  <si>
    <t>深圳市大鹏新区环水水务有限公司</t>
  </si>
  <si>
    <t>1-8B439DP</t>
  </si>
  <si>
    <t>深圳市龙华排水有限公司</t>
  </si>
  <si>
    <t>1-482ECF5</t>
  </si>
  <si>
    <t>深圳市盐田区水务局</t>
  </si>
  <si>
    <t>1-25N2819</t>
  </si>
  <si>
    <t>深圳市公安局交通警察支队南山大队</t>
  </si>
  <si>
    <t>1-1E3DCD5</t>
  </si>
  <si>
    <t>张腾辉6</t>
  </si>
  <si>
    <t>深圳市公安局深汕特别合作区分局</t>
  </si>
  <si>
    <t>1-3G2KGPC</t>
  </si>
  <si>
    <t>深圳市公安局福田分局</t>
  </si>
  <si>
    <t>1-1PKPF</t>
  </si>
  <si>
    <t>深圳市公安局交通管理支队车辆管理大队（深圳市公安局交通管理支队车辆管理所）</t>
  </si>
  <si>
    <t>1-1LJCCDX</t>
  </si>
  <si>
    <t>深圳市公安局交通管理支队罗湖大队</t>
  </si>
  <si>
    <t>1-1MXF6F6</t>
  </si>
  <si>
    <t>深圳市公安局交通警察支队福田大队</t>
  </si>
  <si>
    <t>1-1MX348N</t>
  </si>
  <si>
    <t>深圳市公安局南山分局</t>
  </si>
  <si>
    <t>1-1PKSH</t>
  </si>
  <si>
    <t>深圳市公安局交通警察支队坪山大队</t>
  </si>
  <si>
    <t>1-DRF-2814585</t>
  </si>
  <si>
    <t>深圳市公安局交通警察支队侦查大队（事故处理大队）</t>
  </si>
  <si>
    <t>1-1OL9YSC</t>
  </si>
  <si>
    <t>深圳市公安局罗湖分局</t>
  </si>
  <si>
    <t>1-1PKQ2</t>
  </si>
  <si>
    <t>中共深圳市委政法委员会</t>
  </si>
  <si>
    <t>1-3EV3O34</t>
  </si>
  <si>
    <t>深圳市公安局交通管理支队西部高速公路大队</t>
  </si>
  <si>
    <t>1-4HQPVX9</t>
  </si>
  <si>
    <t>中共深圳市南山区委政法委员会</t>
  </si>
  <si>
    <t>1-2VTYQT8</t>
  </si>
  <si>
    <t>中国电信股份有限公司深圳福田区分公司</t>
  </si>
  <si>
    <t>1-3EZEFJ4</t>
  </si>
  <si>
    <t>深圳市公安局交通管理支队宝安大队</t>
  </si>
  <si>
    <t>1-1I9PBEX</t>
  </si>
  <si>
    <t>徐云鹏1</t>
  </si>
  <si>
    <t>深圳市公安局交通管理局</t>
  </si>
  <si>
    <t>1-1PKYN</t>
  </si>
  <si>
    <t>深圳市公安局交通警察支队大鹏大队</t>
  </si>
  <si>
    <t>1-ALLON-3104879</t>
  </si>
  <si>
    <t>深圳市公安局交通警察支队深汕大队</t>
  </si>
  <si>
    <t>1-4KFK0RJ</t>
  </si>
  <si>
    <t>深圳市公安局交通管理支队光明大队</t>
  </si>
  <si>
    <t>1-31T34MM</t>
  </si>
  <si>
    <t>深圳市公安局交通管理支队龙岗大队</t>
  </si>
  <si>
    <t>1-1MXF6H0</t>
  </si>
  <si>
    <t>深圳市公安局机场分局</t>
  </si>
  <si>
    <t>1-1PKWH</t>
  </si>
  <si>
    <t>深圳市公安局交通管理支队东部高速大队</t>
  </si>
  <si>
    <t>1-38T7IQ8</t>
  </si>
  <si>
    <t>深圳深汕特别合作区特发赛格科技有限公司</t>
  </si>
  <si>
    <t>1-523WPI5</t>
  </si>
  <si>
    <t>公安部南方研究所</t>
  </si>
  <si>
    <t>1-43ZI5S7</t>
  </si>
  <si>
    <t>深圳市公安局交通管理支队龙华大队</t>
  </si>
  <si>
    <t>1-1OLB0D1</t>
  </si>
  <si>
    <t>深圳市公安局交通管理支队盐田大队</t>
  </si>
  <si>
    <t>1-1M47AGM</t>
  </si>
  <si>
    <t>深圳市公安局盐田分局</t>
  </si>
  <si>
    <t>1-1PKUI</t>
  </si>
  <si>
    <t>郭庆3</t>
  </si>
  <si>
    <t>深圳市公安局龙岗分局</t>
  </si>
  <si>
    <t>1-1PKV4</t>
  </si>
  <si>
    <t>深圳市公安局</t>
  </si>
  <si>
    <t>1-1N6DY</t>
  </si>
  <si>
    <t>深圳市公安局宝安分局</t>
  </si>
  <si>
    <t>1-1PKSX</t>
  </si>
  <si>
    <t>深圳市公安局龙华分局</t>
  </si>
  <si>
    <t>1-1PKU2</t>
  </si>
  <si>
    <t>深圳市公安局坪山分局</t>
  </si>
  <si>
    <t>1-1PKVK</t>
  </si>
  <si>
    <t>深圳市公安局光明分局</t>
  </si>
  <si>
    <t>1-1PKTM</t>
  </si>
  <si>
    <t>深圳市公安局交通警察支队龙岗大队龙岗中队</t>
  </si>
  <si>
    <t>1-22INVOB</t>
  </si>
  <si>
    <t>深圳市龙岗区看守所</t>
  </si>
  <si>
    <t>1-1HOE6CH</t>
  </si>
  <si>
    <t>深圳市龙岗区政务服务数据管理局</t>
  </si>
  <si>
    <t>1-3TG0601</t>
  </si>
  <si>
    <t>深圳市坪山区政务服务数据管理局</t>
  </si>
  <si>
    <t>1-3IM3EPF</t>
  </si>
  <si>
    <t>深圳市宝安信息管道管理有限公司</t>
  </si>
  <si>
    <t>1-39UY396</t>
  </si>
  <si>
    <t>深圳市公安局特警支队</t>
  </si>
  <si>
    <t>1-1YJGQZ5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</si>
</sst>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5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sz val="9"/>
      <color rgb="FF000000"/>
      <name val="微软雅黑"/>
      <charset val="134"/>
    </font>
    <font>
      <sz val="8"/>
      <color rgb="FF000000"/>
      <name val="微软雅黑"/>
      <charset val="134"/>
    </font>
    <font>
      <sz val="8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EAEAE"/>
      </left>
      <right style="thin">
        <color rgb="FFAEAEAE"/>
      </right>
      <top style="thin">
        <color rgb="FFAEAEAE"/>
      </top>
      <bottom style="thin">
        <color rgb="FFAEAEA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15">
    <xf numFmtId="0" fontId="0" fillId="0" borderId="0" xfId="0"/>
    <xf numFmtId="0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 vertical="center"/>
    </xf>
    <xf numFmtId="0" fontId="1" fillId="2" borderId="0" xfId="0" applyNumberFormat="1" applyFont="1" applyFill="1" applyAlignment="1">
      <alignment horizontal="left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center" vertical="center"/>
    </xf>
    <xf numFmtId="0" fontId="4" fillId="2" borderId="1" xfId="50" applyNumberFormat="1" applyFont="1" applyFill="1" applyBorder="1" applyAlignment="1">
      <alignment horizontal="center" vertical="center"/>
    </xf>
    <xf numFmtId="176" fontId="4" fillId="2" borderId="1" xfId="50" applyNumberFormat="1" applyFont="1" applyFill="1" applyBorder="1" applyAlignment="1">
      <alignment horizontal="center" vertical="center"/>
    </xf>
    <xf numFmtId="176" fontId="3" fillId="3" borderId="1" xfId="50" applyNumberFormat="1" applyFont="1" applyFill="1" applyBorder="1" applyAlignment="1">
      <alignment horizontal="center" vertical="center"/>
    </xf>
    <xf numFmtId="0" fontId="2" fillId="0" borderId="1" xfId="49" applyNumberFormat="1" applyFont="1" applyFill="1" applyBorder="1" applyAlignment="1">
      <alignment horizontal="center" vertical="center"/>
    </xf>
    <xf numFmtId="0" fontId="2" fillId="0" borderId="1" xfId="49" applyNumberFormat="1" applyFont="1" applyFill="1" applyBorder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4" xfId="50"/>
  </cellStyles>
  <dxfs count="1"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iangying5\Desktop\&#38144;&#21806;&#22242;&#38431;&#27169;&#26495;\2026\&#12304;&#25353;PBG-EBG&#12305;&#38144;&#21806;&#22242;&#38431;&#27169;&#26495;2026050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销售对应表"/>
    </sheetNames>
    <sheetDataSet>
      <sheetData sheetId="0" refreshError="1">
        <row r="1">
          <cell r="C1" t="str">
            <v>Notes姓名</v>
          </cell>
          <cell r="D1" t="str">
            <v>销售员邮箱</v>
          </cell>
          <cell r="E1" t="str">
            <v>销售代码</v>
          </cell>
          <cell r="F1" t="str">
            <v>主管</v>
          </cell>
          <cell r="G1" t="str">
            <v>深圳-团队</v>
          </cell>
          <cell r="H1" t="str">
            <v>OA架构</v>
          </cell>
          <cell r="I1" t="str">
            <v>主管邮箱</v>
          </cell>
          <cell r="J1" t="str">
            <v>一级部门</v>
          </cell>
        </row>
        <row r="2">
          <cell r="C2" t="str">
            <v>韩杰</v>
          </cell>
          <cell r="D2" t="str">
            <v>hanjie@hikvision.com.cn</v>
          </cell>
          <cell r="E2">
            <v>80755</v>
          </cell>
          <cell r="F2" t="str">
            <v>韩杰</v>
          </cell>
          <cell r="G2" t="str">
            <v>大客户销售部</v>
          </cell>
          <cell r="H2" t="str">
            <v>大客户销售部</v>
          </cell>
          <cell r="I2" t="str">
            <v>hanjie@hikvision.com.cn</v>
          </cell>
          <cell r="J2" t="str">
            <v>客户销售部</v>
          </cell>
        </row>
        <row r="3">
          <cell r="C3" t="str">
            <v>李玉</v>
          </cell>
          <cell r="D3" t="str">
            <v>liyusz1@hikvision.com.cn</v>
          </cell>
          <cell r="E3">
            <v>81173</v>
          </cell>
          <cell r="F3" t="str">
            <v>韩杰</v>
          </cell>
          <cell r="G3" t="str">
            <v>大客户销售部</v>
          </cell>
          <cell r="H3" t="str">
            <v>大客户销售部</v>
          </cell>
          <cell r="I3" t="str">
            <v>hanjie@hikvision.com.cn</v>
          </cell>
          <cell r="J3" t="str">
            <v>客户销售部</v>
          </cell>
        </row>
        <row r="4">
          <cell r="C4" t="str">
            <v>邓贝额</v>
          </cell>
          <cell r="D4" t="str">
            <v>dengbeie@hikvision.com.cn</v>
          </cell>
          <cell r="E4">
            <v>99012</v>
          </cell>
          <cell r="F4" t="str">
            <v>韩杰</v>
          </cell>
          <cell r="G4" t="str">
            <v>大客户销售部</v>
          </cell>
          <cell r="H4" t="str">
            <v>大客户销售部</v>
          </cell>
          <cell r="I4" t="str">
            <v>hanjie@hikvision.com.cn</v>
          </cell>
          <cell r="J4" t="str">
            <v>客户销售部</v>
          </cell>
        </row>
        <row r="5">
          <cell r="C5" t="str">
            <v>郑飞13</v>
          </cell>
          <cell r="D5" t="str">
            <v>zhengfei13@hikvision.com.cn</v>
          </cell>
          <cell r="E5">
            <v>12830</v>
          </cell>
          <cell r="F5" t="str">
            <v>韩杰</v>
          </cell>
          <cell r="G5" t="str">
            <v>大客户销售部</v>
          </cell>
          <cell r="H5" t="str">
            <v>大客户销售部</v>
          </cell>
          <cell r="I5" t="str">
            <v>hanjie@hikvision.com.cn</v>
          </cell>
          <cell r="J5" t="str">
            <v>客户销售部</v>
          </cell>
        </row>
        <row r="6">
          <cell r="C6" t="str">
            <v>刘璞</v>
          </cell>
          <cell r="D6" t="str">
            <v>liupu@hikvision.com.cn</v>
          </cell>
          <cell r="E6">
            <v>83914</v>
          </cell>
          <cell r="F6" t="str">
            <v>韩杰</v>
          </cell>
          <cell r="G6" t="str">
            <v>大客户销售部</v>
          </cell>
          <cell r="H6" t="str">
            <v>大客户销售部</v>
          </cell>
          <cell r="I6" t="str">
            <v>hanjie@hikvision.com.cn</v>
          </cell>
          <cell r="J6" t="str">
            <v>客户销售部</v>
          </cell>
        </row>
        <row r="7">
          <cell r="C7" t="str">
            <v>刘爱红</v>
          </cell>
          <cell r="D7" t="str">
            <v>liuaihong@hikvision.com.cn</v>
          </cell>
          <cell r="E7">
            <v>80285</v>
          </cell>
          <cell r="F7" t="str">
            <v>韩杰</v>
          </cell>
          <cell r="G7" t="str">
            <v>大客户销售部</v>
          </cell>
          <cell r="H7" t="str">
            <v>大客户销售部</v>
          </cell>
          <cell r="I7" t="str">
            <v>hanjie@hikvision.com.cn</v>
          </cell>
          <cell r="J7" t="str">
            <v>客户销售部</v>
          </cell>
        </row>
        <row r="8">
          <cell r="C8" t="str">
            <v>马玉薪</v>
          </cell>
          <cell r="D8" t="str">
            <v>mayuxin@hikvision.com.cn</v>
          </cell>
          <cell r="E8">
            <v>94328</v>
          </cell>
          <cell r="F8" t="str">
            <v>韩杰</v>
          </cell>
          <cell r="G8" t="str">
            <v>大客户销售部</v>
          </cell>
          <cell r="H8" t="str">
            <v>大客户销售部</v>
          </cell>
          <cell r="I8" t="str">
            <v>hanjie@hikvision.com.cn</v>
          </cell>
          <cell r="J8" t="str">
            <v>客户销售部</v>
          </cell>
        </row>
        <row r="9">
          <cell r="C9" t="str">
            <v>张辉99</v>
          </cell>
          <cell r="D9" t="str">
            <v>zhanghui99@hikvision.com.cn</v>
          </cell>
          <cell r="E9">
            <v>13244</v>
          </cell>
          <cell r="F9" t="str">
            <v>韩杰</v>
          </cell>
          <cell r="G9" t="str">
            <v>大客户销售部</v>
          </cell>
          <cell r="H9" t="str">
            <v>大客户销售部</v>
          </cell>
          <cell r="I9" t="str">
            <v>hanjie@hikvision.com.cn</v>
          </cell>
          <cell r="J9" t="str">
            <v>客户销售部</v>
          </cell>
        </row>
        <row r="10">
          <cell r="C10" t="str">
            <v>高巍10</v>
          </cell>
          <cell r="D10" t="str">
            <v>gaowei10@hikvision.com.cn</v>
          </cell>
          <cell r="E10">
            <v>90788</v>
          </cell>
          <cell r="F10" t="str">
            <v>高巍10</v>
          </cell>
          <cell r="G10" t="str">
            <v>客户销售一部</v>
          </cell>
          <cell r="H10" t="str">
            <v>客户销售一部</v>
          </cell>
          <cell r="I10" t="str">
            <v>gaowei10@hikvision.com.cn</v>
          </cell>
          <cell r="J10" t="str">
            <v>客户销售部</v>
          </cell>
        </row>
        <row r="11">
          <cell r="C11" t="str">
            <v>段金君</v>
          </cell>
          <cell r="D11" t="str">
            <v>duanjinjun@hikvision.com.cn</v>
          </cell>
          <cell r="E11">
            <v>12814</v>
          </cell>
          <cell r="F11" t="str">
            <v>高巍10</v>
          </cell>
          <cell r="G11" t="str">
            <v>客户销售一部</v>
          </cell>
          <cell r="H11" t="str">
            <v>客户销售一部</v>
          </cell>
          <cell r="I11" t="str">
            <v>gaowei10@hikvision.com.cn</v>
          </cell>
          <cell r="J11" t="str">
            <v>客户销售部</v>
          </cell>
        </row>
        <row r="12">
          <cell r="C12" t="str">
            <v>张栋柱</v>
          </cell>
          <cell r="D12" t="str">
            <v>zhangdongzhu@hikvision.com.cn</v>
          </cell>
          <cell r="E12">
            <v>89612</v>
          </cell>
          <cell r="F12" t="str">
            <v>张栋柱</v>
          </cell>
          <cell r="G12" t="str">
            <v>客户销售一组</v>
          </cell>
          <cell r="H12" t="str">
            <v>客户销售一部</v>
          </cell>
          <cell r="I12" t="str">
            <v>zhangdongzhu@hikvision.com.cn</v>
          </cell>
          <cell r="J12" t="str">
            <v>客户销售部</v>
          </cell>
        </row>
        <row r="13">
          <cell r="C13" t="str">
            <v>沙坤</v>
          </cell>
          <cell r="D13" t="str">
            <v>shakun@hikvision.com.cn</v>
          </cell>
          <cell r="E13">
            <v>11508</v>
          </cell>
          <cell r="F13" t="str">
            <v>张栋柱</v>
          </cell>
          <cell r="G13" t="str">
            <v>客户销售一组</v>
          </cell>
          <cell r="H13" t="str">
            <v>客户销售一部</v>
          </cell>
          <cell r="I13" t="str">
            <v>zhangdongzhu@hikvision.com.cn</v>
          </cell>
          <cell r="J13" t="str">
            <v>客户销售部</v>
          </cell>
        </row>
        <row r="14">
          <cell r="C14" t="str">
            <v>王嘉恺5</v>
          </cell>
          <cell r="D14" t="str">
            <v>wangjiakai5@hikvision.com.cn</v>
          </cell>
          <cell r="E14">
            <v>99011</v>
          </cell>
          <cell r="F14" t="str">
            <v>张栋柱</v>
          </cell>
          <cell r="G14" t="str">
            <v>客户销售一组</v>
          </cell>
          <cell r="H14" t="str">
            <v>客户销售一部</v>
          </cell>
          <cell r="I14" t="str">
            <v>zhangdongzhu@hikvision.com.cn</v>
          </cell>
          <cell r="J14" t="str">
            <v>客户销售部</v>
          </cell>
        </row>
        <row r="15">
          <cell r="C15" t="str">
            <v>张振德</v>
          </cell>
          <cell r="D15" t="str">
            <v>zhangzhende@hikvision.com.cn</v>
          </cell>
          <cell r="E15">
            <v>14515</v>
          </cell>
          <cell r="F15" t="str">
            <v>张栋柱</v>
          </cell>
          <cell r="G15" t="str">
            <v>客户销售一组</v>
          </cell>
          <cell r="H15" t="str">
            <v>客户销售一部</v>
          </cell>
          <cell r="I15" t="str">
            <v>zhangdongzhu@hikvision.com.cn</v>
          </cell>
          <cell r="J15" t="str">
            <v>客户销售部</v>
          </cell>
        </row>
        <row r="16">
          <cell r="C16" t="str">
            <v>黄燕滨</v>
          </cell>
          <cell r="D16" t="str">
            <v>huangyanbin@hikvision.com.cn</v>
          </cell>
          <cell r="E16">
            <v>15471</v>
          </cell>
          <cell r="F16" t="str">
            <v>张栋柱</v>
          </cell>
          <cell r="G16" t="str">
            <v>客户销售一组</v>
          </cell>
          <cell r="H16" t="str">
            <v>客户销售一部</v>
          </cell>
          <cell r="I16" t="str">
            <v>zhangdongzhu@hikvision.com.cn</v>
          </cell>
          <cell r="J16" t="str">
            <v>客户销售部</v>
          </cell>
        </row>
        <row r="17">
          <cell r="C17" t="str">
            <v>彭威12</v>
          </cell>
          <cell r="D17" t="str">
            <v>pengwei12@hikvision.com.cn</v>
          </cell>
          <cell r="E17">
            <v>15470</v>
          </cell>
          <cell r="F17" t="str">
            <v>张栋柱</v>
          </cell>
          <cell r="G17" t="str">
            <v>客户销售一组</v>
          </cell>
          <cell r="H17" t="str">
            <v>客户销售一部</v>
          </cell>
          <cell r="I17" t="str">
            <v>zhangdongzhu@hikvision.com.cn</v>
          </cell>
          <cell r="J17" t="str">
            <v>客户销售部</v>
          </cell>
        </row>
        <row r="18">
          <cell r="C18" t="str">
            <v>陈刚sz</v>
          </cell>
          <cell r="D18" t="str">
            <v>chengangsz@hikvision.com.cn</v>
          </cell>
          <cell r="E18">
            <v>80280</v>
          </cell>
          <cell r="F18" t="str">
            <v>陈刚sz</v>
          </cell>
          <cell r="G18" t="str">
            <v>客户销售二组</v>
          </cell>
          <cell r="H18" t="str">
            <v>客户销售一部</v>
          </cell>
          <cell r="I18" t="str">
            <v>chengangsz@hikvision.com.cn</v>
          </cell>
          <cell r="J18" t="str">
            <v>客户销售部</v>
          </cell>
        </row>
        <row r="19">
          <cell r="C19" t="str">
            <v>罗肖福</v>
          </cell>
          <cell r="D19" t="str">
            <v>luoxiaofu@hikvision.com.cn</v>
          </cell>
          <cell r="E19">
            <v>99361</v>
          </cell>
          <cell r="F19" t="str">
            <v>陈刚sz</v>
          </cell>
          <cell r="G19" t="str">
            <v>客户销售二组</v>
          </cell>
          <cell r="H19" t="str">
            <v>客户销售一部</v>
          </cell>
          <cell r="I19" t="str">
            <v>chengangsz@hikvision.com.cn</v>
          </cell>
          <cell r="J19" t="str">
            <v>客户销售部</v>
          </cell>
        </row>
        <row r="20">
          <cell r="C20" t="str">
            <v>陈伟添</v>
          </cell>
          <cell r="D20" t="str">
            <v>chenweitian@hikvision.com.cn</v>
          </cell>
          <cell r="E20">
            <v>11507</v>
          </cell>
          <cell r="F20" t="str">
            <v>陈刚sz</v>
          </cell>
          <cell r="G20" t="str">
            <v>客户销售二组</v>
          </cell>
          <cell r="H20" t="str">
            <v>客户销售一部</v>
          </cell>
          <cell r="I20" t="str">
            <v>chengangsz@hikvision.com.cn</v>
          </cell>
          <cell r="J20" t="str">
            <v>客户销售部</v>
          </cell>
        </row>
        <row r="21">
          <cell r="C21" t="str">
            <v>孙天6</v>
          </cell>
          <cell r="D21" t="str">
            <v>suntian6@hikvision.com.cn</v>
          </cell>
          <cell r="E21">
            <v>96472</v>
          </cell>
          <cell r="F21" t="str">
            <v>陈刚sz</v>
          </cell>
          <cell r="G21" t="str">
            <v>客户销售二组</v>
          </cell>
          <cell r="H21" t="str">
            <v>客户销售一部</v>
          </cell>
          <cell r="I21" t="str">
            <v>chengangsz@hikvision.com.cn</v>
          </cell>
          <cell r="J21" t="str">
            <v>客户销售部</v>
          </cell>
        </row>
        <row r="22">
          <cell r="C22" t="str">
            <v>蔡均鑫</v>
          </cell>
          <cell r="D22" t="str">
            <v>caijunxin@hikvision.com.cn</v>
          </cell>
          <cell r="E22">
            <v>13245</v>
          </cell>
          <cell r="F22" t="str">
            <v>陈刚sz</v>
          </cell>
          <cell r="G22" t="str">
            <v>客户销售二组</v>
          </cell>
          <cell r="H22" t="str">
            <v>客户销售一部</v>
          </cell>
          <cell r="I22" t="str">
            <v>chengangsz@hikvision.com.cn</v>
          </cell>
          <cell r="J22" t="str">
            <v>客户销售部</v>
          </cell>
        </row>
        <row r="23">
          <cell r="C23" t="str">
            <v>熊佳豪</v>
          </cell>
          <cell r="D23" t="str">
            <v>xiongjiahao@hikvision.com.cn</v>
          </cell>
          <cell r="E23">
            <v>99360</v>
          </cell>
          <cell r="F23" t="str">
            <v>高巍10</v>
          </cell>
          <cell r="G23" t="str">
            <v>客户销售三组</v>
          </cell>
          <cell r="H23" t="str">
            <v>客户销售一部</v>
          </cell>
          <cell r="I23" t="str">
            <v>gaowei10@hikvision.com.cn</v>
          </cell>
          <cell r="J23" t="str">
            <v>客户销售部</v>
          </cell>
        </row>
        <row r="24">
          <cell r="C24" t="str">
            <v>王鹏旭</v>
          </cell>
          <cell r="D24" t="str">
            <v>wangpengxu@hikvision.com.cn</v>
          </cell>
          <cell r="E24">
            <v>97443</v>
          </cell>
          <cell r="F24" t="str">
            <v>高巍10</v>
          </cell>
          <cell r="G24" t="str">
            <v>客户销售三组</v>
          </cell>
          <cell r="H24" t="str">
            <v>客户销售一部</v>
          </cell>
          <cell r="I24" t="str">
            <v>gaowei10@hikvision.com.cn</v>
          </cell>
          <cell r="J24" t="str">
            <v>客户销售部</v>
          </cell>
        </row>
        <row r="25">
          <cell r="C25" t="str">
            <v>陈春11</v>
          </cell>
          <cell r="D25" t="str">
            <v>chenchun11@hikvision.com.cn</v>
          </cell>
          <cell r="E25">
            <v>10398</v>
          </cell>
          <cell r="F25" t="str">
            <v>高巍10</v>
          </cell>
          <cell r="G25" t="str">
            <v>客户销售三组</v>
          </cell>
          <cell r="H25" t="str">
            <v>客户销售一部</v>
          </cell>
          <cell r="I25" t="str">
            <v>gaowei10@hikvision.com.cn</v>
          </cell>
          <cell r="J25" t="str">
            <v>客户销售部</v>
          </cell>
        </row>
        <row r="26">
          <cell r="C26" t="str">
            <v>罗兴华</v>
          </cell>
          <cell r="D26" t="str">
            <v>luoxinghua@hikvision.com.cn</v>
          </cell>
          <cell r="E26">
            <v>88913</v>
          </cell>
          <cell r="F26" t="str">
            <v>高巍10</v>
          </cell>
          <cell r="G26" t="str">
            <v>客户销售三组</v>
          </cell>
          <cell r="H26" t="str">
            <v>客户销售一部</v>
          </cell>
          <cell r="I26" t="str">
            <v>gaowei10@hikvision.com.cn</v>
          </cell>
          <cell r="J26" t="str">
            <v>客户销售部</v>
          </cell>
        </row>
        <row r="27">
          <cell r="C27" t="str">
            <v>刘文宇5</v>
          </cell>
          <cell r="D27" t="str">
            <v>liuwenyu5@hikvision.com.cn</v>
          </cell>
          <cell r="E27">
            <v>88691</v>
          </cell>
          <cell r="F27" t="str">
            <v>刘文宇5</v>
          </cell>
          <cell r="G27" t="str">
            <v>客户销售四组</v>
          </cell>
          <cell r="H27" t="str">
            <v>客户销售一部</v>
          </cell>
          <cell r="I27" t="str">
            <v>liuwenyu5@hikvision.com.cn</v>
          </cell>
          <cell r="J27" t="str">
            <v>客户销售部</v>
          </cell>
        </row>
        <row r="28">
          <cell r="C28" t="str">
            <v>陈宁8</v>
          </cell>
          <cell r="D28" t="str">
            <v>chenning8@hikvision.com.cn</v>
          </cell>
          <cell r="E28">
            <v>97203</v>
          </cell>
          <cell r="F28" t="str">
            <v>刘文宇5</v>
          </cell>
          <cell r="G28" t="str">
            <v>客户销售四组</v>
          </cell>
          <cell r="H28" t="str">
            <v>客户销售一部</v>
          </cell>
          <cell r="I28" t="str">
            <v>liuwenyu5@hikvision.com.cn</v>
          </cell>
          <cell r="J28" t="str">
            <v>客户销售部</v>
          </cell>
        </row>
        <row r="29">
          <cell r="C29" t="str">
            <v>范富山</v>
          </cell>
          <cell r="D29" t="str">
            <v>fanfushan@hikvision.com.cn</v>
          </cell>
          <cell r="E29">
            <v>98333</v>
          </cell>
          <cell r="F29" t="str">
            <v>刘文宇5</v>
          </cell>
          <cell r="G29" t="str">
            <v>客户销售四组</v>
          </cell>
          <cell r="H29" t="str">
            <v>客户销售一部</v>
          </cell>
          <cell r="I29" t="str">
            <v>liuwenyu5@hikvision.com.cn</v>
          </cell>
          <cell r="J29" t="str">
            <v>客户销售部</v>
          </cell>
        </row>
        <row r="30">
          <cell r="C30" t="str">
            <v>梁资航5</v>
          </cell>
          <cell r="D30" t="str">
            <v>liangzihang5@hikvision.com.cn</v>
          </cell>
          <cell r="E30">
            <v>98617</v>
          </cell>
          <cell r="F30" t="str">
            <v>刘文宇5</v>
          </cell>
          <cell r="G30" t="str">
            <v>客户销售四组</v>
          </cell>
          <cell r="H30" t="str">
            <v>客户销售一部</v>
          </cell>
          <cell r="I30" t="str">
            <v>liuwenyu5@hikvision.com.cn</v>
          </cell>
          <cell r="J30" t="str">
            <v>客户销售部</v>
          </cell>
        </row>
        <row r="31">
          <cell r="C31" t="str">
            <v>胡鹏17</v>
          </cell>
          <cell r="D31" t="str">
            <v>hupeng17@hikvision.com.cn</v>
          </cell>
          <cell r="E31">
            <v>96737</v>
          </cell>
          <cell r="F31" t="str">
            <v>刘文宇5</v>
          </cell>
          <cell r="G31" t="str">
            <v>客户销售四组</v>
          </cell>
          <cell r="H31" t="str">
            <v>客户销售一部</v>
          </cell>
          <cell r="I31" t="str">
            <v>liuwenyu5@hikvision.com.cn</v>
          </cell>
          <cell r="J31" t="str">
            <v>客户销售部</v>
          </cell>
        </row>
        <row r="32">
          <cell r="C32" t="str">
            <v>徐志伟8</v>
          </cell>
          <cell r="D32" t="str">
            <v>xuzhiwei8@hikvision.com.cn</v>
          </cell>
          <cell r="E32">
            <v>97442</v>
          </cell>
          <cell r="F32" t="str">
            <v>刘文宇5</v>
          </cell>
          <cell r="G32" t="str">
            <v>客户销售四组</v>
          </cell>
          <cell r="H32" t="str">
            <v>客户销售一部</v>
          </cell>
          <cell r="I32" t="str">
            <v>liuwenyu5@hikvision.com.cn</v>
          </cell>
          <cell r="J32" t="str">
            <v>客户销售部</v>
          </cell>
        </row>
        <row r="33">
          <cell r="C33" t="str">
            <v>张宜军8</v>
          </cell>
          <cell r="D33" t="str">
            <v>zhangyijun8@hikvision.com.cn</v>
          </cell>
          <cell r="E33">
            <v>14507</v>
          </cell>
          <cell r="F33" t="str">
            <v>刘文宇5</v>
          </cell>
          <cell r="G33" t="str">
            <v>客户销售四组</v>
          </cell>
          <cell r="H33" t="str">
            <v>客户销售一部</v>
          </cell>
          <cell r="I33" t="str">
            <v>liuwenyu5@hikvision.com.cn</v>
          </cell>
          <cell r="J33" t="str">
            <v>客户销售部</v>
          </cell>
        </row>
        <row r="34">
          <cell r="C34" t="str">
            <v>吴正豪</v>
          </cell>
          <cell r="D34" t="str">
            <v>wuzhenghao@hikvision.com.cn</v>
          </cell>
          <cell r="E34">
            <v>91409</v>
          </cell>
          <cell r="F34" t="str">
            <v>吴正豪</v>
          </cell>
          <cell r="G34" t="str">
            <v>客户销售二部</v>
          </cell>
          <cell r="H34" t="str">
            <v>客户销售二部</v>
          </cell>
          <cell r="I34" t="str">
            <v>wuzhenghao@hikvision.com.cn</v>
          </cell>
          <cell r="J34" t="str">
            <v>客户销售部</v>
          </cell>
        </row>
        <row r="35">
          <cell r="C35" t="str">
            <v>张如玮5</v>
          </cell>
          <cell r="D35" t="str">
            <v>zhangruwei5@hikvision.com.cn</v>
          </cell>
          <cell r="E35">
            <v>12090</v>
          </cell>
          <cell r="F35" t="str">
            <v>吴正豪</v>
          </cell>
          <cell r="G35" t="str">
            <v>客户销售六组</v>
          </cell>
          <cell r="H35" t="str">
            <v>客户销售二部</v>
          </cell>
          <cell r="I35" t="str">
            <v>wuzhenghao@hikvision.com.cn</v>
          </cell>
          <cell r="J35" t="str">
            <v>客户销售部</v>
          </cell>
        </row>
        <row r="36">
          <cell r="C36" t="str">
            <v>龙招军</v>
          </cell>
          <cell r="D36" t="str">
            <v>longzhaojun@hikvision.com.cn</v>
          </cell>
          <cell r="E36">
            <v>99561</v>
          </cell>
          <cell r="F36" t="str">
            <v>吴正豪</v>
          </cell>
          <cell r="G36" t="str">
            <v>客户销售六组</v>
          </cell>
          <cell r="H36" t="str">
            <v>客户销售二部</v>
          </cell>
          <cell r="I36" t="str">
            <v>wuzhenghao@hikvision.com.cn</v>
          </cell>
          <cell r="J36" t="str">
            <v>客户销售部</v>
          </cell>
        </row>
        <row r="37">
          <cell r="C37" t="str">
            <v>牛璐</v>
          </cell>
          <cell r="D37" t="str">
            <v>niulu@hikvision.com.cn</v>
          </cell>
          <cell r="E37">
            <v>84288</v>
          </cell>
          <cell r="F37" t="str">
            <v>吴正豪</v>
          </cell>
          <cell r="G37" t="str">
            <v>客户销售六组</v>
          </cell>
          <cell r="H37" t="str">
            <v>客户销售二部</v>
          </cell>
          <cell r="I37" t="str">
            <v>wuzhenghao@hikvision.com.cn</v>
          </cell>
          <cell r="J37" t="str">
            <v>客户销售部</v>
          </cell>
        </row>
        <row r="38">
          <cell r="C38" t="str">
            <v>朱迪7</v>
          </cell>
          <cell r="D38" t="str">
            <v>zhudi7@hikvision.com.cn</v>
          </cell>
          <cell r="E38">
            <v>95484</v>
          </cell>
          <cell r="F38" t="str">
            <v>朱迪7</v>
          </cell>
          <cell r="G38" t="str">
            <v>客户销售七组</v>
          </cell>
          <cell r="H38" t="str">
            <v>客户销售二部</v>
          </cell>
          <cell r="I38" t="str">
            <v>zhudi7@hikvision.com.cn</v>
          </cell>
          <cell r="J38" t="str">
            <v>客户销售部</v>
          </cell>
        </row>
        <row r="39">
          <cell r="C39" t="str">
            <v>王海滨8</v>
          </cell>
          <cell r="D39" t="str">
            <v>wanghaibin8@hikvision.com.cn</v>
          </cell>
          <cell r="E39">
            <v>95485</v>
          </cell>
          <cell r="F39" t="str">
            <v>朱迪7</v>
          </cell>
          <cell r="G39" t="str">
            <v>客户销售七组</v>
          </cell>
          <cell r="H39" t="str">
            <v>客户销售二部</v>
          </cell>
          <cell r="I39" t="str">
            <v>zhudi7@hikvision.com.cn</v>
          </cell>
          <cell r="J39" t="str">
            <v>客户销售部</v>
          </cell>
        </row>
        <row r="40">
          <cell r="C40" t="str">
            <v>陈博锋</v>
          </cell>
          <cell r="D40" t="str">
            <v>chenbofeng@hikvision.com.cn</v>
          </cell>
          <cell r="E40">
            <v>91834</v>
          </cell>
          <cell r="F40" t="str">
            <v>朱迪7</v>
          </cell>
          <cell r="G40" t="str">
            <v>客户销售七组</v>
          </cell>
          <cell r="H40" t="str">
            <v>客户销售二部</v>
          </cell>
          <cell r="I40" t="str">
            <v>zhudi7@hikvision.com.cn</v>
          </cell>
          <cell r="J40" t="str">
            <v>客户销售部</v>
          </cell>
        </row>
        <row r="41">
          <cell r="C41" t="str">
            <v>蒋宪正</v>
          </cell>
          <cell r="D41" t="str">
            <v>jiangxianzheng@hikvision.com.cn</v>
          </cell>
          <cell r="E41">
            <v>92320</v>
          </cell>
          <cell r="F41" t="str">
            <v>朱迪7</v>
          </cell>
          <cell r="G41" t="str">
            <v>客户销售七组</v>
          </cell>
          <cell r="H41" t="str">
            <v>客户销售二部</v>
          </cell>
          <cell r="I41" t="str">
            <v>zhudi7@hikvision.com.cn</v>
          </cell>
          <cell r="J41" t="str">
            <v>客户销售部</v>
          </cell>
        </row>
        <row r="42">
          <cell r="C42" t="str">
            <v>汤瑞生</v>
          </cell>
          <cell r="D42" t="str">
            <v>tangruisheng@hikvision.com.cn</v>
          </cell>
          <cell r="E42">
            <v>88693</v>
          </cell>
          <cell r="F42" t="str">
            <v>朱迪7</v>
          </cell>
          <cell r="G42" t="str">
            <v>客户销售七组</v>
          </cell>
          <cell r="H42" t="str">
            <v>客户销售二部</v>
          </cell>
          <cell r="I42" t="str">
            <v>zhudi7@hikvision.com.cn</v>
          </cell>
          <cell r="J42" t="str">
            <v>客户销售部</v>
          </cell>
        </row>
        <row r="43">
          <cell r="C43" t="str">
            <v>叶德庆</v>
          </cell>
          <cell r="D43" t="str">
            <v>yedeqing@hikvision.com.cn</v>
          </cell>
          <cell r="E43">
            <v>13248</v>
          </cell>
          <cell r="F43" t="str">
            <v>朱迪7</v>
          </cell>
          <cell r="G43" t="str">
            <v>客户销售七组</v>
          </cell>
          <cell r="H43" t="str">
            <v>客户销售二部</v>
          </cell>
          <cell r="I43" t="str">
            <v>zhudi7@hikvision.com.cn</v>
          </cell>
          <cell r="J43" t="str">
            <v>客户销售部</v>
          </cell>
        </row>
        <row r="44">
          <cell r="C44" t="str">
            <v>邓畅</v>
          </cell>
          <cell r="D44" t="str">
            <v>dengchang@hikvision.com.cn</v>
          </cell>
          <cell r="E44">
            <v>87410</v>
          </cell>
          <cell r="F44" t="str">
            <v>邓畅</v>
          </cell>
          <cell r="G44" t="str">
            <v>客户销售八组</v>
          </cell>
          <cell r="H44" t="str">
            <v>客户销售二部</v>
          </cell>
          <cell r="I44" t="str">
            <v>dengchang@hikvision.com.cn</v>
          </cell>
          <cell r="J44" t="str">
            <v>客户销售部</v>
          </cell>
        </row>
        <row r="45">
          <cell r="C45" t="str">
            <v>张云川</v>
          </cell>
          <cell r="D45" t="str">
            <v>zhangyunchuan@hikvision.com.cn</v>
          </cell>
          <cell r="E45">
            <v>91963</v>
          </cell>
          <cell r="F45" t="str">
            <v>邓畅</v>
          </cell>
          <cell r="G45" t="str">
            <v>客户销售八组</v>
          </cell>
          <cell r="H45" t="str">
            <v>客户销售二部</v>
          </cell>
          <cell r="I45" t="str">
            <v>dengchang@hikvision.com.cn</v>
          </cell>
          <cell r="J45" t="str">
            <v>客户销售部</v>
          </cell>
        </row>
        <row r="46">
          <cell r="C46" t="str">
            <v>何建新6</v>
          </cell>
          <cell r="D46" t="str">
            <v>hejianxin6@hikvision.com.cn</v>
          </cell>
          <cell r="E46">
            <v>98314</v>
          </cell>
          <cell r="F46" t="str">
            <v>邓畅</v>
          </cell>
          <cell r="G46" t="str">
            <v>客户销售八组</v>
          </cell>
          <cell r="H46" t="str">
            <v>客户销售二部</v>
          </cell>
          <cell r="I46" t="str">
            <v>dengchang@hikvision.com.cn</v>
          </cell>
          <cell r="J46" t="str">
            <v>客户销售部</v>
          </cell>
        </row>
        <row r="47">
          <cell r="C47" t="str">
            <v>吴思聪</v>
          </cell>
          <cell r="D47" t="str">
            <v>wusicong@hikvision.com.cn</v>
          </cell>
          <cell r="E47">
            <v>10395</v>
          </cell>
          <cell r="F47" t="str">
            <v>邓畅</v>
          </cell>
          <cell r="G47" t="str">
            <v>客户销售八组</v>
          </cell>
          <cell r="H47" t="str">
            <v>客户销售二部</v>
          </cell>
          <cell r="I47" t="str">
            <v>dengchang@hikvision.com.cn</v>
          </cell>
          <cell r="J47" t="str">
            <v>客户销售部</v>
          </cell>
        </row>
        <row r="48">
          <cell r="C48" t="str">
            <v>王宇龙25</v>
          </cell>
          <cell r="D48" t="str">
            <v>wangyulong25@hikvision.com.cn</v>
          </cell>
          <cell r="E48">
            <v>10383</v>
          </cell>
          <cell r="F48" t="str">
            <v>邓畅</v>
          </cell>
          <cell r="G48" t="str">
            <v>客户销售八组</v>
          </cell>
          <cell r="H48" t="str">
            <v>客户销售二部</v>
          </cell>
          <cell r="I48" t="str">
            <v>dengchang@hikvision.com.cn</v>
          </cell>
          <cell r="J48" t="str">
            <v>客户销售部</v>
          </cell>
        </row>
        <row r="49">
          <cell r="C49" t="str">
            <v>徐添寒</v>
          </cell>
          <cell r="D49" t="str">
            <v>xutianhan@hikvision.com.cn</v>
          </cell>
          <cell r="E49">
            <v>97627</v>
          </cell>
          <cell r="F49" t="str">
            <v>邓畅</v>
          </cell>
          <cell r="G49" t="str">
            <v>客户销售八组</v>
          </cell>
          <cell r="H49" t="str">
            <v>客户销售二部</v>
          </cell>
          <cell r="I49" t="str">
            <v>dengchang@hikvision.com.cn</v>
          </cell>
          <cell r="J49" t="str">
            <v>客户销售部</v>
          </cell>
        </row>
        <row r="50">
          <cell r="C50" t="str">
            <v>李拥政5</v>
          </cell>
          <cell r="D50" t="str">
            <v>liyongzheng5@hikvision.com.cn</v>
          </cell>
          <cell r="E50">
            <v>91410</v>
          </cell>
          <cell r="F50" t="str">
            <v>李拥政5</v>
          </cell>
          <cell r="G50" t="str">
            <v>客户销售九组</v>
          </cell>
          <cell r="H50" t="str">
            <v>客户销售二部</v>
          </cell>
          <cell r="I50" t="str">
            <v>liyongzheng5@hikvision.com.cn</v>
          </cell>
          <cell r="J50" t="str">
            <v>客户销售部</v>
          </cell>
        </row>
        <row r="51">
          <cell r="C51" t="str">
            <v>胡程6</v>
          </cell>
          <cell r="D51" t="str">
            <v>hucheng6@hikvision.com.cn</v>
          </cell>
          <cell r="E51">
            <v>92850</v>
          </cell>
          <cell r="F51" t="str">
            <v>李拥政5</v>
          </cell>
          <cell r="G51" t="str">
            <v>客户销售九组</v>
          </cell>
          <cell r="H51" t="str">
            <v>客户销售二部</v>
          </cell>
          <cell r="I51" t="str">
            <v>liyongzheng5@hikvision.com.cn</v>
          </cell>
          <cell r="J51" t="str">
            <v>客户销售部</v>
          </cell>
        </row>
        <row r="52">
          <cell r="C52" t="str">
            <v>许金迪</v>
          </cell>
          <cell r="D52" t="str">
            <v>xujindi@hikvision.com.cn</v>
          </cell>
          <cell r="E52">
            <v>97195</v>
          </cell>
          <cell r="F52" t="str">
            <v>李拥政5</v>
          </cell>
          <cell r="G52" t="str">
            <v>客户销售九组</v>
          </cell>
          <cell r="H52" t="str">
            <v>客户销售二部</v>
          </cell>
          <cell r="I52" t="str">
            <v>liyongzheng5@hikvision.com.cn</v>
          </cell>
          <cell r="J52" t="str">
            <v>客户销售部</v>
          </cell>
        </row>
        <row r="53">
          <cell r="C53" t="str">
            <v>蒋国江</v>
          </cell>
          <cell r="D53" t="str">
            <v>jiangguojiang@hikvision.com.cn</v>
          </cell>
          <cell r="E53">
            <v>97696</v>
          </cell>
          <cell r="F53" t="str">
            <v>李拥政5</v>
          </cell>
          <cell r="G53" t="str">
            <v>客户销售九组</v>
          </cell>
          <cell r="H53" t="str">
            <v>客户销售二部</v>
          </cell>
          <cell r="I53" t="str">
            <v>liyongzheng5@hikvision.com.cn</v>
          </cell>
          <cell r="J53" t="str">
            <v>客户销售部</v>
          </cell>
        </row>
        <row r="54">
          <cell r="C54" t="str">
            <v>贾贺翔</v>
          </cell>
          <cell r="D54" t="str">
            <v>jiahexiang@hikvision.com.cn</v>
          </cell>
          <cell r="E54">
            <v>95987</v>
          </cell>
          <cell r="F54" t="str">
            <v>李拥政5</v>
          </cell>
          <cell r="G54" t="str">
            <v>客户销售九组</v>
          </cell>
          <cell r="H54" t="str">
            <v>客户销售二部</v>
          </cell>
          <cell r="I54" t="str">
            <v>liyongzheng5@hikvision.com.cn</v>
          </cell>
          <cell r="J54" t="str">
            <v>客户销售部</v>
          </cell>
        </row>
        <row r="55">
          <cell r="C55" t="str">
            <v>黎毅刚</v>
          </cell>
          <cell r="D55" t="str">
            <v>liyigang@hikvision.com.cn</v>
          </cell>
          <cell r="E55">
            <v>93235</v>
          </cell>
          <cell r="F55" t="str">
            <v>李拥政5</v>
          </cell>
          <cell r="G55" t="str">
            <v>客户销售九组</v>
          </cell>
          <cell r="H55" t="str">
            <v>客户销售二部</v>
          </cell>
          <cell r="I55" t="str">
            <v>liyongzheng5@hikvision.com.cn</v>
          </cell>
          <cell r="J55" t="str">
            <v>客户销售部</v>
          </cell>
        </row>
        <row r="56">
          <cell r="C56" t="str">
            <v>卫玉昌</v>
          </cell>
          <cell r="D56" t="str">
            <v>weiyuchang@hikvision.com.cn</v>
          </cell>
          <cell r="E56">
            <v>81049</v>
          </cell>
          <cell r="F56" t="str">
            <v>卫玉昌</v>
          </cell>
          <cell r="G56" t="str">
            <v>行业一部</v>
          </cell>
          <cell r="H56" t="str">
            <v>行业一部</v>
          </cell>
          <cell r="I56" t="str">
            <v>weiyuchang@hikvision.com.cn</v>
          </cell>
          <cell r="J56" t="str">
            <v>行业一部</v>
          </cell>
        </row>
        <row r="57">
          <cell r="C57" t="str">
            <v>潘仲楠</v>
          </cell>
          <cell r="D57" t="str">
            <v>panzhongnan@hikvision.com.cn</v>
          </cell>
          <cell r="E57">
            <v>82871</v>
          </cell>
          <cell r="F57" t="str">
            <v>潘仲楠</v>
          </cell>
          <cell r="G57" t="str">
            <v>工业企业一组</v>
          </cell>
          <cell r="H57" t="str">
            <v>工业企业一组</v>
          </cell>
          <cell r="I57" t="str">
            <v>panzhongnan@hikvision.com.cn</v>
          </cell>
          <cell r="J57" t="str">
            <v>行业一部</v>
          </cell>
        </row>
        <row r="58">
          <cell r="C58" t="str">
            <v>周丹3</v>
          </cell>
          <cell r="D58" t="str">
            <v>zhoudan3@hikvision.com.cn</v>
          </cell>
          <cell r="E58">
            <v>84866</v>
          </cell>
          <cell r="F58" t="str">
            <v>潘仲楠</v>
          </cell>
          <cell r="G58" t="str">
            <v>工业企业一组</v>
          </cell>
          <cell r="H58" t="str">
            <v>工业企业一组</v>
          </cell>
          <cell r="I58" t="str">
            <v>panzhongnan@hikvision.com.cn</v>
          </cell>
          <cell r="J58" t="str">
            <v>行业一部</v>
          </cell>
        </row>
        <row r="59">
          <cell r="C59" t="str">
            <v>张星19</v>
          </cell>
          <cell r="D59" t="str">
            <v>zhangxing19@hikvision.com.cn</v>
          </cell>
          <cell r="E59">
            <v>97629</v>
          </cell>
          <cell r="F59" t="str">
            <v>潘仲楠</v>
          </cell>
          <cell r="G59" t="str">
            <v>工业企业一组</v>
          </cell>
          <cell r="H59" t="str">
            <v>工业企业一组</v>
          </cell>
          <cell r="I59" t="str">
            <v>panzhongnan@hikvision.com.cn</v>
          </cell>
          <cell r="J59" t="str">
            <v>行业一部</v>
          </cell>
        </row>
        <row r="60">
          <cell r="C60" t="str">
            <v>杨永光</v>
          </cell>
          <cell r="D60" t="str">
            <v>yangyongguang@hikvision.com.cn</v>
          </cell>
          <cell r="E60">
            <v>80295</v>
          </cell>
          <cell r="F60" t="str">
            <v>潘仲楠</v>
          </cell>
          <cell r="G60" t="str">
            <v>工业企业一组</v>
          </cell>
          <cell r="H60" t="str">
            <v>工业企业一组</v>
          </cell>
          <cell r="I60" t="str">
            <v>panzhongnan@hikvision.com.cn</v>
          </cell>
          <cell r="J60" t="str">
            <v>行业一部</v>
          </cell>
        </row>
        <row r="61">
          <cell r="C61" t="str">
            <v>刘超27</v>
          </cell>
          <cell r="D61" t="str">
            <v>liuchao27@hikvision.com.cn</v>
          </cell>
          <cell r="E61">
            <v>90786</v>
          </cell>
          <cell r="F61" t="str">
            <v>潘仲楠</v>
          </cell>
          <cell r="G61" t="str">
            <v>工业企业一组</v>
          </cell>
          <cell r="H61" t="str">
            <v>工业企业一组</v>
          </cell>
          <cell r="I61" t="str">
            <v>panzhongnan@hikvision.com.cn</v>
          </cell>
          <cell r="J61" t="str">
            <v>行业一部</v>
          </cell>
        </row>
        <row r="62">
          <cell r="C62" t="str">
            <v>唐明翔</v>
          </cell>
          <cell r="D62" t="str">
            <v>tangmingxiang@hikvision.com.cn</v>
          </cell>
          <cell r="E62">
            <v>97612</v>
          </cell>
          <cell r="F62" t="str">
            <v>卫玉昌</v>
          </cell>
          <cell r="G62" t="str">
            <v>工业企业二组</v>
          </cell>
          <cell r="H62" t="str">
            <v>工业企业二组</v>
          </cell>
          <cell r="I62" t="str">
            <v>weiyuchang@hikvision.com.cn</v>
          </cell>
          <cell r="J62" t="str">
            <v>行业一部</v>
          </cell>
        </row>
        <row r="63">
          <cell r="C63" t="str">
            <v>胡鑫11</v>
          </cell>
          <cell r="D63" t="str">
            <v>huxin11@hikvision.com.cn</v>
          </cell>
          <cell r="E63">
            <v>97953</v>
          </cell>
          <cell r="F63" t="str">
            <v>卫玉昌</v>
          </cell>
          <cell r="G63" t="str">
            <v>工业企业二组</v>
          </cell>
          <cell r="H63" t="str">
            <v>工业企业二组</v>
          </cell>
          <cell r="I63" t="str">
            <v>weiyuchang@hikvision.com.cn</v>
          </cell>
          <cell r="J63" t="str">
            <v>行业一部</v>
          </cell>
        </row>
        <row r="64">
          <cell r="C64" t="str">
            <v>陈仲都</v>
          </cell>
          <cell r="D64" t="str">
            <v>chenzhongdu@hikvision.com.cn</v>
          </cell>
          <cell r="E64">
            <v>12574</v>
          </cell>
          <cell r="F64" t="str">
            <v>卫玉昌</v>
          </cell>
          <cell r="G64" t="str">
            <v>工业企业二组</v>
          </cell>
          <cell r="H64" t="str">
            <v>工业企业二组</v>
          </cell>
          <cell r="I64" t="str">
            <v>weiyuchang@hikvision.com.cn</v>
          </cell>
          <cell r="J64" t="str">
            <v>行业一部</v>
          </cell>
        </row>
        <row r="65">
          <cell r="C65" t="str">
            <v>洪峰泉</v>
          </cell>
          <cell r="D65" t="str">
            <v>hongfengquan@hikvision.com.cn</v>
          </cell>
          <cell r="E65">
            <v>80287</v>
          </cell>
          <cell r="F65" t="str">
            <v>卫玉昌</v>
          </cell>
          <cell r="G65" t="str">
            <v>工业企业二组</v>
          </cell>
          <cell r="H65" t="str">
            <v>工业企业二组</v>
          </cell>
          <cell r="I65" t="str">
            <v>weiyuchang@hikvision.com.cn</v>
          </cell>
          <cell r="J65" t="str">
            <v>行业一部</v>
          </cell>
        </row>
        <row r="66">
          <cell r="C66" t="str">
            <v>高扬23</v>
          </cell>
          <cell r="D66" t="str">
            <v>gaoyang23@hikvision.com.cn</v>
          </cell>
          <cell r="E66">
            <v>93539</v>
          </cell>
          <cell r="F66" t="str">
            <v>卫玉昌</v>
          </cell>
          <cell r="G66" t="str">
            <v>工业企业二组</v>
          </cell>
          <cell r="H66" t="str">
            <v>工业企业二组</v>
          </cell>
          <cell r="I66" t="str">
            <v>weiyuchang@hikvision.com.cn</v>
          </cell>
          <cell r="J66" t="str">
            <v>行业一部</v>
          </cell>
        </row>
        <row r="67">
          <cell r="C67" t="str">
            <v>李耀东</v>
          </cell>
          <cell r="D67" t="str">
            <v>liyaodong@hikvision.com.cn</v>
          </cell>
          <cell r="E67">
            <v>86411</v>
          </cell>
          <cell r="F67" t="str">
            <v>李耀东</v>
          </cell>
          <cell r="G67" t="str">
            <v>智慧商贸组</v>
          </cell>
          <cell r="H67" t="str">
            <v>智慧商贸组</v>
          </cell>
          <cell r="I67" t="str">
            <v>liyaodong@hikvision.com.cn</v>
          </cell>
          <cell r="J67" t="str">
            <v>行业一部</v>
          </cell>
        </row>
        <row r="68">
          <cell r="C68" t="str">
            <v>曾强弘</v>
          </cell>
          <cell r="D68" t="str">
            <v>zengqianghong@hikvision.com.cn</v>
          </cell>
          <cell r="E68">
            <v>98382</v>
          </cell>
          <cell r="F68" t="str">
            <v>李耀东</v>
          </cell>
          <cell r="G68" t="str">
            <v>智慧商贸组</v>
          </cell>
          <cell r="H68" t="str">
            <v>智慧商贸组</v>
          </cell>
          <cell r="I68" t="str">
            <v>liyaodong@hikvision.com.cn</v>
          </cell>
          <cell r="J68" t="str">
            <v>行业一部</v>
          </cell>
        </row>
        <row r="69">
          <cell r="C69" t="str">
            <v>刘佳豪26</v>
          </cell>
          <cell r="D69" t="str">
            <v>liujiahao26@hikvision.com.cn</v>
          </cell>
          <cell r="E69">
            <v>12575</v>
          </cell>
          <cell r="F69" t="str">
            <v>李耀东</v>
          </cell>
          <cell r="G69" t="str">
            <v>智慧商贸组</v>
          </cell>
          <cell r="H69" t="str">
            <v>智慧商贸组</v>
          </cell>
          <cell r="I69" t="str">
            <v>liyaodong@hikvision.com.cn</v>
          </cell>
          <cell r="J69" t="str">
            <v>行业一部</v>
          </cell>
        </row>
        <row r="70">
          <cell r="C70" t="str">
            <v>孙德成</v>
          </cell>
          <cell r="D70" t="str">
            <v>sundecheng@hikvision.com.cn</v>
          </cell>
          <cell r="E70">
            <v>14833</v>
          </cell>
          <cell r="F70" t="str">
            <v>李耀东</v>
          </cell>
          <cell r="G70" t="str">
            <v>智慧商贸组</v>
          </cell>
          <cell r="H70" t="str">
            <v>智慧商贸组</v>
          </cell>
          <cell r="I70" t="str">
            <v>liyaodong@hikvision.com.cn</v>
          </cell>
          <cell r="J70" t="str">
            <v>行业一部</v>
          </cell>
        </row>
        <row r="71">
          <cell r="C71" t="str">
            <v>朱绪浩</v>
          </cell>
          <cell r="D71" t="str">
            <v>zhuxuhao@hikvision.com.cn</v>
          </cell>
          <cell r="E71">
            <v>86701</v>
          </cell>
          <cell r="F71" t="str">
            <v>朱绪浩</v>
          </cell>
          <cell r="G71" t="str">
            <v>智慧建筑组</v>
          </cell>
          <cell r="H71" t="str">
            <v>智慧建筑组</v>
          </cell>
          <cell r="I71" t="str">
            <v>zhuxuhao@hikvision.com.cn</v>
          </cell>
          <cell r="J71" t="str">
            <v>行业一部</v>
          </cell>
        </row>
        <row r="72">
          <cell r="C72" t="str">
            <v>杨秀敏</v>
          </cell>
          <cell r="D72" t="str">
            <v>yangxiumin@hikvision.com.cn</v>
          </cell>
          <cell r="E72">
            <v>83258</v>
          </cell>
          <cell r="F72" t="str">
            <v>朱绪浩</v>
          </cell>
          <cell r="G72" t="str">
            <v>智慧建筑组</v>
          </cell>
          <cell r="H72" t="str">
            <v>智慧建筑组</v>
          </cell>
          <cell r="I72" t="str">
            <v>zhuxuhao@hikvision.com.cn</v>
          </cell>
          <cell r="J72" t="str">
            <v>行业一部</v>
          </cell>
        </row>
        <row r="73">
          <cell r="C73" t="str">
            <v>吴泽民6</v>
          </cell>
          <cell r="D73" t="str">
            <v>wuzemin6@hikvision.com.cn</v>
          </cell>
          <cell r="E73">
            <v>97288</v>
          </cell>
          <cell r="F73" t="str">
            <v>朱绪浩</v>
          </cell>
          <cell r="G73" t="str">
            <v>智慧建筑组</v>
          </cell>
          <cell r="H73" t="str">
            <v>智慧建筑组</v>
          </cell>
          <cell r="I73" t="str">
            <v>zhuxuhao@hikvision.com.cn</v>
          </cell>
          <cell r="J73" t="str">
            <v>行业一部</v>
          </cell>
        </row>
        <row r="74">
          <cell r="C74" t="str">
            <v>何亮12</v>
          </cell>
          <cell r="D74" t="str">
            <v>heliang12@hikvision.com.cn</v>
          </cell>
          <cell r="E74">
            <v>98993</v>
          </cell>
          <cell r="F74" t="str">
            <v>朱绪浩</v>
          </cell>
          <cell r="G74" t="str">
            <v>智慧建筑组</v>
          </cell>
          <cell r="H74" t="str">
            <v>智慧建筑组</v>
          </cell>
          <cell r="I74" t="str">
            <v>zhuxuhao@hikvision.com.cn</v>
          </cell>
          <cell r="J74" t="str">
            <v>行业一部</v>
          </cell>
        </row>
        <row r="75">
          <cell r="C75" t="str">
            <v>房伟建</v>
          </cell>
          <cell r="D75" t="str">
            <v>fangweijian@hikvision.com.cn</v>
          </cell>
          <cell r="E75">
            <v>84977</v>
          </cell>
          <cell r="F75" t="str">
            <v>房伟建</v>
          </cell>
          <cell r="G75" t="str">
            <v>行业二部</v>
          </cell>
          <cell r="H75" t="str">
            <v>行业二部</v>
          </cell>
          <cell r="I75" t="str">
            <v>fangweijian@hikvision.com.cn</v>
          </cell>
          <cell r="J75" t="str">
            <v>行业二部</v>
          </cell>
        </row>
        <row r="76">
          <cell r="C76" t="str">
            <v>陈志杰8</v>
          </cell>
          <cell r="D76" t="str">
            <v>chenzhijie8@hikvision.com.cn</v>
          </cell>
          <cell r="E76">
            <v>11583</v>
          </cell>
          <cell r="F76" t="str">
            <v>房伟建</v>
          </cell>
          <cell r="G76" t="str">
            <v>行业二部</v>
          </cell>
          <cell r="H76" t="str">
            <v>行业二部</v>
          </cell>
          <cell r="I76" t="str">
            <v>fangweijian@hikvision.com.cn</v>
          </cell>
          <cell r="J76" t="str">
            <v>行业二部</v>
          </cell>
        </row>
        <row r="77">
          <cell r="C77" t="str">
            <v>林若驹</v>
          </cell>
          <cell r="D77" t="str">
            <v>linruoju@hikvision.com.cn</v>
          </cell>
          <cell r="E77">
            <v>88696</v>
          </cell>
          <cell r="F77" t="str">
            <v>房伟建</v>
          </cell>
          <cell r="G77" t="str">
            <v>行业二部</v>
          </cell>
          <cell r="H77" t="str">
            <v>行业二部</v>
          </cell>
          <cell r="I77" t="str">
            <v>fangweijian@hikvision.com.cn</v>
          </cell>
          <cell r="J77" t="str">
            <v>行业二部</v>
          </cell>
        </row>
        <row r="78">
          <cell r="C78" t="str">
            <v>郭庆3</v>
          </cell>
          <cell r="D78" t="str">
            <v>guoqing3@hikvision.com.cn</v>
          </cell>
          <cell r="E78">
            <v>83047</v>
          </cell>
          <cell r="F78" t="str">
            <v>房伟建</v>
          </cell>
          <cell r="G78" t="str">
            <v>公安交警行业组</v>
          </cell>
          <cell r="H78" t="str">
            <v>公安交警行业组</v>
          </cell>
          <cell r="I78" t="str">
            <v>fangweijian@hikvision.com.cn</v>
          </cell>
          <cell r="J78" t="str">
            <v>行业二部</v>
          </cell>
        </row>
        <row r="79">
          <cell r="C79" t="str">
            <v>徐云鹏1</v>
          </cell>
          <cell r="D79" t="str">
            <v>xuyunpeng1@hikvision.com.cn</v>
          </cell>
          <cell r="E79">
            <v>84439</v>
          </cell>
          <cell r="F79" t="str">
            <v>房伟建</v>
          </cell>
          <cell r="G79" t="str">
            <v>公安交警行业组</v>
          </cell>
          <cell r="H79" t="str">
            <v>公安交警行业组</v>
          </cell>
          <cell r="I79" t="str">
            <v>fangweijian@hikvision.com.cn</v>
          </cell>
          <cell r="J79" t="str">
            <v>行业二部</v>
          </cell>
        </row>
        <row r="80">
          <cell r="C80" t="str">
            <v>张腾辉6</v>
          </cell>
          <cell r="D80" t="str">
            <v>zhangtenghui6@hikvision.com.cn</v>
          </cell>
          <cell r="E80">
            <v>12862</v>
          </cell>
          <cell r="F80" t="str">
            <v>房伟建</v>
          </cell>
          <cell r="G80" t="str">
            <v>公安交警行业组</v>
          </cell>
          <cell r="H80" t="str">
            <v>公安交警行业组</v>
          </cell>
          <cell r="I80" t="str">
            <v>fangweijian@hikvision.com.cn</v>
          </cell>
          <cell r="J80" t="str">
            <v>行业二部</v>
          </cell>
        </row>
        <row r="81">
          <cell r="C81" t="str">
            <v>廖贝贝</v>
          </cell>
          <cell r="D81" t="str">
            <v>liaobeibei@hikvision.com.cn</v>
          </cell>
          <cell r="E81">
            <v>86412</v>
          </cell>
          <cell r="F81" t="str">
            <v>廖贝贝</v>
          </cell>
          <cell r="G81" t="str">
            <v>政府行业组</v>
          </cell>
          <cell r="H81" t="str">
            <v>政府行业组</v>
          </cell>
          <cell r="I81" t="str">
            <v>liaobeibei@hikvision.com.cn</v>
          </cell>
          <cell r="J81" t="str">
            <v>行业二部</v>
          </cell>
        </row>
        <row r="82">
          <cell r="C82" t="str">
            <v>陶文杰</v>
          </cell>
          <cell r="D82" t="str">
            <v>taowenjie@hikvision.com.cn </v>
          </cell>
          <cell r="E82">
            <v>83029</v>
          </cell>
          <cell r="F82" t="str">
            <v>廖贝贝</v>
          </cell>
          <cell r="G82" t="str">
            <v>政府行业组</v>
          </cell>
          <cell r="H82" t="str">
            <v>政府行业组</v>
          </cell>
          <cell r="I82" t="str">
            <v>liaobeibei@hikvision.com.cn</v>
          </cell>
          <cell r="J82" t="str">
            <v>行业二部</v>
          </cell>
        </row>
        <row r="83">
          <cell r="C83" t="str">
            <v>唐勇10</v>
          </cell>
          <cell r="D83" t="str">
            <v>tangyong10@hikvision.com.cn</v>
          </cell>
          <cell r="E83">
            <v>93538</v>
          </cell>
          <cell r="F83" t="str">
            <v>廖贝贝</v>
          </cell>
          <cell r="G83" t="str">
            <v>政府行业组</v>
          </cell>
          <cell r="H83" t="str">
            <v>政府行业组</v>
          </cell>
          <cell r="I83" t="str">
            <v>liaobeibei@hikvision.com.cn</v>
          </cell>
          <cell r="J83" t="str">
            <v>行业二部</v>
          </cell>
        </row>
        <row r="84">
          <cell r="C84" t="str">
            <v>刘骏86</v>
          </cell>
          <cell r="D84" t="str">
            <v>liujun86@hikvision.com.cn</v>
          </cell>
          <cell r="E84">
            <v>10396</v>
          </cell>
          <cell r="F84" t="str">
            <v>廖贝贝</v>
          </cell>
          <cell r="G84" t="str">
            <v>政府行业组</v>
          </cell>
          <cell r="H84" t="str">
            <v>政府行业组</v>
          </cell>
          <cell r="I84" t="str">
            <v>liaobeibei@hikvision.com.cn</v>
          </cell>
          <cell r="J84" t="str">
            <v>行业二部</v>
          </cell>
        </row>
        <row r="85">
          <cell r="C85" t="str">
            <v>王魁8</v>
          </cell>
          <cell r="D85" t="str">
            <v>wangkui8@hikvision.com.cn</v>
          </cell>
          <cell r="E85">
            <v>90386</v>
          </cell>
          <cell r="F85" t="str">
            <v>王魁8</v>
          </cell>
          <cell r="G85" t="str">
            <v>交通行业组</v>
          </cell>
          <cell r="H85" t="str">
            <v>交通行业组</v>
          </cell>
          <cell r="I85" t="str">
            <v>wangkui8@hikvision.com.cn</v>
          </cell>
          <cell r="J85" t="str">
            <v>行业二部</v>
          </cell>
        </row>
        <row r="86">
          <cell r="C86" t="str">
            <v>肖力</v>
          </cell>
          <cell r="D86" t="str">
            <v>xiaoli@hikvision.com.cn</v>
          </cell>
          <cell r="E86">
            <v>82239</v>
          </cell>
          <cell r="F86" t="str">
            <v>王魁8</v>
          </cell>
          <cell r="G86" t="str">
            <v>交通行业组</v>
          </cell>
          <cell r="H86" t="str">
            <v>交通行业组</v>
          </cell>
          <cell r="I86" t="str">
            <v>wangkui8@hikvision.com.cn</v>
          </cell>
          <cell r="J86" t="str">
            <v>行业二部</v>
          </cell>
        </row>
        <row r="87">
          <cell r="C87" t="str">
            <v>文波5</v>
          </cell>
          <cell r="D87" t="str">
            <v>wenbo5@hikvision.com.cn</v>
          </cell>
          <cell r="E87">
            <v>87071</v>
          </cell>
          <cell r="F87" t="str">
            <v>王魁8</v>
          </cell>
          <cell r="G87" t="str">
            <v>交通行业组</v>
          </cell>
          <cell r="H87" t="str">
            <v>交通行业组</v>
          </cell>
          <cell r="I87" t="str">
            <v>wangkui8@hikvision.com.cn</v>
          </cell>
          <cell r="J87" t="str">
            <v>行业二部</v>
          </cell>
        </row>
        <row r="88">
          <cell r="C88" t="str">
            <v>刘冬6</v>
          </cell>
          <cell r="D88" t="str">
            <v>liudong6@hikvision.com.cn</v>
          </cell>
          <cell r="E88">
            <v>90327</v>
          </cell>
          <cell r="F88" t="str">
            <v>刘冬6</v>
          </cell>
          <cell r="G88" t="str">
            <v>司法行业组</v>
          </cell>
          <cell r="H88" t="str">
            <v>司法行业组</v>
          </cell>
          <cell r="I88" t="str">
            <v>liudong6@hikvision.com.cn</v>
          </cell>
          <cell r="J88" t="str">
            <v>行业二部</v>
          </cell>
        </row>
        <row r="89">
          <cell r="C89" t="str">
            <v>柯俊鑫</v>
          </cell>
          <cell r="D89" t="str">
            <v>kejunxin@hikvision.com.cn</v>
          </cell>
          <cell r="E89">
            <v>93762</v>
          </cell>
          <cell r="F89" t="str">
            <v>刘冬6</v>
          </cell>
          <cell r="G89" t="str">
            <v>司法行业组</v>
          </cell>
          <cell r="H89" t="str">
            <v>司法行业组</v>
          </cell>
          <cell r="I89" t="str">
            <v>liudong6@hikvision.com.cn</v>
          </cell>
          <cell r="J89" t="str">
            <v>行业二部</v>
          </cell>
        </row>
        <row r="90">
          <cell r="C90" t="str">
            <v>王茜</v>
          </cell>
          <cell r="D90" t="str">
            <v>wangxisz@hikvision.com.cn</v>
          </cell>
          <cell r="E90">
            <v>80290</v>
          </cell>
          <cell r="F90" t="str">
            <v>王茜</v>
          </cell>
          <cell r="G90" t="str">
            <v>文教卫组</v>
          </cell>
          <cell r="H90" t="str">
            <v>文教卫组</v>
          </cell>
          <cell r="I90" t="str">
            <v>wangxisz@hikvision.com.cn</v>
          </cell>
          <cell r="J90" t="str">
            <v>行业二部</v>
          </cell>
        </row>
        <row r="91">
          <cell r="C91" t="str">
            <v>李功</v>
          </cell>
          <cell r="D91" t="str">
            <v>ligong@hikvision.com.cn</v>
          </cell>
          <cell r="E91">
            <v>83228</v>
          </cell>
          <cell r="F91" t="str">
            <v>王茜</v>
          </cell>
          <cell r="G91" t="str">
            <v>文教卫组</v>
          </cell>
          <cell r="H91" t="str">
            <v>文教卫组</v>
          </cell>
          <cell r="I91" t="str">
            <v>wangxisz@hikvision.com.cn</v>
          </cell>
          <cell r="J91" t="str">
            <v>行业二部</v>
          </cell>
        </row>
        <row r="92">
          <cell r="C92" t="str">
            <v>张岩27</v>
          </cell>
          <cell r="D92" t="str">
            <v>zhangyan27@hikvision.com.cn</v>
          </cell>
          <cell r="E92">
            <v>87974</v>
          </cell>
          <cell r="F92" t="str">
            <v>王茜</v>
          </cell>
          <cell r="G92" t="str">
            <v>文教卫组</v>
          </cell>
          <cell r="H92" t="str">
            <v>文教卫组</v>
          </cell>
          <cell r="I92" t="str">
            <v>wangxisz@hikvision.com.cn</v>
          </cell>
          <cell r="J92" t="str">
            <v>行业二部</v>
          </cell>
        </row>
        <row r="93">
          <cell r="C93" t="str">
            <v>刘羽欣</v>
          </cell>
          <cell r="D93" t="str">
            <v>liuyuxin@hikvision.com.cn</v>
          </cell>
          <cell r="E93">
            <v>84793</v>
          </cell>
          <cell r="F93" t="str">
            <v>王茜</v>
          </cell>
          <cell r="G93" t="str">
            <v>文教卫组</v>
          </cell>
          <cell r="H93" t="str">
            <v>文教卫组</v>
          </cell>
          <cell r="I93" t="str">
            <v>wangxisz@hikvision.com.cn</v>
          </cell>
          <cell r="J93" t="str">
            <v>行业二部</v>
          </cell>
        </row>
        <row r="94">
          <cell r="C94" t="str">
            <v>刘向文5</v>
          </cell>
          <cell r="D94" t="str">
            <v>liuxiangwen5@hikvision.com.cn</v>
          </cell>
          <cell r="E94">
            <v>96862</v>
          </cell>
          <cell r="F94" t="str">
            <v>王茜</v>
          </cell>
          <cell r="G94" t="str">
            <v>文教卫组</v>
          </cell>
          <cell r="H94" t="str">
            <v>文教卫组</v>
          </cell>
          <cell r="I94" t="str">
            <v>wangxisz@hikvision.com.cn</v>
          </cell>
          <cell r="J94" t="str">
            <v>行业二部</v>
          </cell>
        </row>
        <row r="95">
          <cell r="C95" t="str">
            <v>黄子懿</v>
          </cell>
          <cell r="D95" t="str">
            <v>huangziyi@hikvision.com.cn</v>
          </cell>
          <cell r="E95">
            <v>97392</v>
          </cell>
          <cell r="F95" t="str">
            <v>王茜</v>
          </cell>
          <cell r="G95" t="str">
            <v>文教卫组</v>
          </cell>
          <cell r="H95" t="str">
            <v>文教卫组</v>
          </cell>
          <cell r="I95" t="str">
            <v>wangxisz@hikvision.com.cn</v>
          </cell>
          <cell r="J95" t="str">
            <v>行业二部</v>
          </cell>
        </row>
        <row r="96">
          <cell r="C96" t="str">
            <v>明良斌</v>
          </cell>
          <cell r="D96" t="str">
            <v>mingliangbin@hikvision.com.cn</v>
          </cell>
          <cell r="E96">
            <v>88083</v>
          </cell>
          <cell r="F96" t="str">
            <v>卫玉昌</v>
          </cell>
          <cell r="G96" t="str">
            <v>场景数字化销售部</v>
          </cell>
          <cell r="H96" t="str">
            <v>场景数字化销售部</v>
          </cell>
          <cell r="I96" t="str">
            <v>weiyuchang@hikvision.com.cn</v>
          </cell>
          <cell r="J96" t="str">
            <v>场景数字化销售部</v>
          </cell>
        </row>
        <row r="97">
          <cell r="C97" t="str">
            <v>张永仁</v>
          </cell>
          <cell r="D97" t="str">
            <v>zhangyongren@hikvision.com.cn</v>
          </cell>
          <cell r="E97">
            <v>14260</v>
          </cell>
          <cell r="F97" t="str">
            <v>卫玉昌</v>
          </cell>
          <cell r="G97" t="str">
            <v>场景数字化销售部</v>
          </cell>
          <cell r="H97" t="str">
            <v>场景数字化销售部</v>
          </cell>
          <cell r="I97" t="str">
            <v>weiyuchang@hikvision.com.cn</v>
          </cell>
          <cell r="J97" t="str">
            <v>场景数字化销售部</v>
          </cell>
        </row>
        <row r="98">
          <cell r="C98" t="str">
            <v>王俊杰</v>
          </cell>
          <cell r="D98" t="str">
            <v>wangjunjie@hikvision.com.cn</v>
          </cell>
          <cell r="E98">
            <v>14834</v>
          </cell>
          <cell r="F98" t="str">
            <v>卫玉昌</v>
          </cell>
          <cell r="G98" t="str">
            <v>场景数字化销售部</v>
          </cell>
          <cell r="H98" t="str">
            <v>场景数字化销售部</v>
          </cell>
          <cell r="I98" t="str">
            <v>weiyuchang@hikvision.com.cn</v>
          </cell>
          <cell r="J98" t="str">
            <v>场景数字化销售部</v>
          </cell>
        </row>
        <row r="99">
          <cell r="C99" t="str">
            <v>杨娟</v>
          </cell>
          <cell r="D99" t="str">
            <v>yangjuan@hikvision.com.cn</v>
          </cell>
          <cell r="E99">
            <v>80286</v>
          </cell>
          <cell r="F99" t="str">
            <v>杨娟</v>
          </cell>
          <cell r="G99" t="str">
            <v>金融服务组</v>
          </cell>
          <cell r="H99" t="str">
            <v>金融服务业务部\华南大区\深圳组</v>
          </cell>
          <cell r="I99" t="str">
            <v>yangjuan@hikvision.com.cn</v>
          </cell>
          <cell r="J99" t="str">
            <v>金融服务业务部</v>
          </cell>
        </row>
        <row r="100">
          <cell r="C100" t="str">
            <v>黄玉琴</v>
          </cell>
          <cell r="D100" t="str">
            <v>huangyuqin@hikvision.com.cn</v>
          </cell>
          <cell r="E100">
            <v>83339</v>
          </cell>
          <cell r="F100" t="str">
            <v>杨娟</v>
          </cell>
          <cell r="G100" t="str">
            <v>金融服务组</v>
          </cell>
          <cell r="H100" t="str">
            <v>金融服务业务部\华南大区\深圳组</v>
          </cell>
          <cell r="I100" t="str">
            <v>yangjuan@hikvision.com.cn</v>
          </cell>
          <cell r="J100" t="str">
            <v>金融服务业务部</v>
          </cell>
        </row>
        <row r="101">
          <cell r="C101" t="str">
            <v>卓奕财</v>
          </cell>
          <cell r="D101" t="str">
            <v>zhuoyicai@hikvision.com.cn</v>
          </cell>
          <cell r="E101">
            <v>97826</v>
          </cell>
          <cell r="F101" t="str">
            <v>杨娟</v>
          </cell>
          <cell r="G101" t="str">
            <v>金融服务组</v>
          </cell>
          <cell r="H101" t="str">
            <v>金融服务业务部\华南大区\深圳组</v>
          </cell>
          <cell r="I101" t="str">
            <v>yangjuan@hikvision.com.cn</v>
          </cell>
          <cell r="J101" t="str">
            <v>金融服务业务部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96"/>
  <sheetViews>
    <sheetView tabSelected="1" workbookViewId="0">
      <selection activeCell="D2" sqref="D2"/>
    </sheetView>
  </sheetViews>
  <sheetFormatPr defaultColWidth="9" defaultRowHeight="13"/>
  <cols>
    <col min="1" max="1" width="36.625" style="2" customWidth="1"/>
    <col min="2" max="2" width="12.375" style="2" customWidth="1"/>
    <col min="3" max="3" width="6.75" style="3" customWidth="1"/>
    <col min="4" max="4" width="15.5" style="3" customWidth="1"/>
    <col min="5" max="6" width="4.125" style="4" customWidth="1"/>
    <col min="7" max="33" width="3.625" style="2" customWidth="1"/>
    <col min="34" max="16384" width="9" style="2"/>
  </cols>
  <sheetData>
    <row r="1" s="1" customFormat="1" ht="104" spans="1:33">
      <c r="A1" s="5" t="s">
        <v>0</v>
      </c>
      <c r="B1" s="5" t="s">
        <v>1</v>
      </c>
      <c r="C1" s="6" t="s">
        <v>2</v>
      </c>
      <c r="D1" s="5" t="s">
        <v>3</v>
      </c>
      <c r="E1" s="7" t="s">
        <v>4</v>
      </c>
      <c r="F1" s="7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</row>
    <row r="2" spans="1:33">
      <c r="A2" s="8" t="s">
        <v>33</v>
      </c>
      <c r="B2" s="8" t="s">
        <v>34</v>
      </c>
      <c r="C2" s="9" t="s">
        <v>35</v>
      </c>
      <c r="D2" s="9" t="str">
        <f>VLOOKUP(C2,[1]销售对应表!$C:$J,5,0)</f>
        <v>政府行业组</v>
      </c>
      <c r="E2" s="10" t="s">
        <v>36</v>
      </c>
      <c r="F2" s="11">
        <f t="shared" ref="F2:F65" si="0">SUM(G2:AG2)</f>
        <v>11</v>
      </c>
      <c r="G2" s="12">
        <v>1</v>
      </c>
      <c r="H2" s="12">
        <v>1</v>
      </c>
      <c r="I2" s="12">
        <v>1</v>
      </c>
      <c r="J2" s="12">
        <v>0</v>
      </c>
      <c r="K2" s="12">
        <v>1</v>
      </c>
      <c r="L2" s="12">
        <v>0</v>
      </c>
      <c r="M2" s="12">
        <v>1</v>
      </c>
      <c r="N2" s="12">
        <v>1</v>
      </c>
      <c r="O2" s="12">
        <v>1</v>
      </c>
      <c r="P2" s="12">
        <v>0</v>
      </c>
      <c r="Q2" s="12">
        <v>1</v>
      </c>
      <c r="R2" s="12">
        <v>0</v>
      </c>
      <c r="S2" s="12">
        <v>1</v>
      </c>
      <c r="T2" s="12">
        <v>1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1</v>
      </c>
      <c r="AG2" s="12">
        <v>0</v>
      </c>
    </row>
    <row r="3" spans="1:33">
      <c r="A3" s="8" t="s">
        <v>37</v>
      </c>
      <c r="B3" s="8" t="s">
        <v>38</v>
      </c>
      <c r="C3" s="9" t="s">
        <v>35</v>
      </c>
      <c r="D3" s="9" t="str">
        <f>VLOOKUP(C3,[1]销售对应表!$C:$J,5,0)</f>
        <v>政府行业组</v>
      </c>
      <c r="E3" s="10" t="s">
        <v>36</v>
      </c>
      <c r="F3" s="11">
        <f t="shared" si="0"/>
        <v>7</v>
      </c>
      <c r="G3" s="12">
        <v>1</v>
      </c>
      <c r="H3" s="12">
        <v>1</v>
      </c>
      <c r="I3" s="12">
        <v>0</v>
      </c>
      <c r="J3" s="12">
        <v>1</v>
      </c>
      <c r="K3" s="12">
        <v>0</v>
      </c>
      <c r="L3" s="12">
        <v>0</v>
      </c>
      <c r="M3" s="12">
        <v>0</v>
      </c>
      <c r="N3" s="12">
        <v>1</v>
      </c>
      <c r="O3" s="12">
        <v>0</v>
      </c>
      <c r="P3" s="12">
        <v>1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1</v>
      </c>
      <c r="AB3" s="12">
        <v>0</v>
      </c>
      <c r="AC3" s="12">
        <v>1</v>
      </c>
      <c r="AD3" s="12">
        <v>0</v>
      </c>
      <c r="AE3" s="12">
        <v>0</v>
      </c>
      <c r="AF3" s="12">
        <v>0</v>
      </c>
      <c r="AG3" s="12">
        <v>0</v>
      </c>
    </row>
    <row r="4" spans="1:33">
      <c r="A4" s="8" t="s">
        <v>39</v>
      </c>
      <c r="B4" s="8" t="s">
        <v>40</v>
      </c>
      <c r="C4" s="9" t="s">
        <v>35</v>
      </c>
      <c r="D4" s="9" t="str">
        <f>VLOOKUP(C4,[1]销售对应表!$C:$J,5,0)</f>
        <v>政府行业组</v>
      </c>
      <c r="E4" s="10" t="s">
        <v>41</v>
      </c>
      <c r="F4" s="11">
        <f t="shared" si="0"/>
        <v>8</v>
      </c>
      <c r="G4" s="12">
        <v>1</v>
      </c>
      <c r="H4" s="12">
        <v>1</v>
      </c>
      <c r="I4" s="12">
        <v>0</v>
      </c>
      <c r="J4" s="12">
        <v>0</v>
      </c>
      <c r="K4" s="12">
        <v>0</v>
      </c>
      <c r="L4" s="12">
        <v>0</v>
      </c>
      <c r="M4" s="12">
        <v>1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1</v>
      </c>
      <c r="Y4" s="12">
        <v>0</v>
      </c>
      <c r="Z4" s="12">
        <v>0</v>
      </c>
      <c r="AA4" s="12">
        <v>1</v>
      </c>
      <c r="AB4" s="12">
        <v>0</v>
      </c>
      <c r="AC4" s="12">
        <v>0</v>
      </c>
      <c r="AD4" s="12">
        <v>1</v>
      </c>
      <c r="AE4" s="12">
        <v>0</v>
      </c>
      <c r="AF4" s="12">
        <v>0</v>
      </c>
      <c r="AG4" s="12">
        <v>1</v>
      </c>
    </row>
    <row r="5" spans="1:33">
      <c r="A5" s="8" t="s">
        <v>42</v>
      </c>
      <c r="B5" s="8" t="s">
        <v>43</v>
      </c>
      <c r="C5" s="9" t="s">
        <v>35</v>
      </c>
      <c r="D5" s="9" t="str">
        <f>VLOOKUP(C5,[1]销售对应表!$C:$J,5,0)</f>
        <v>政府行业组</v>
      </c>
      <c r="E5" s="10" t="s">
        <v>36</v>
      </c>
      <c r="F5" s="11">
        <f t="shared" si="0"/>
        <v>7</v>
      </c>
      <c r="G5" s="12">
        <v>1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1</v>
      </c>
      <c r="Q5" s="12">
        <v>0</v>
      </c>
      <c r="R5" s="12">
        <v>0</v>
      </c>
      <c r="S5" s="12">
        <v>0</v>
      </c>
      <c r="T5" s="12">
        <v>1</v>
      </c>
      <c r="U5" s="12">
        <v>0</v>
      </c>
      <c r="V5" s="12">
        <v>0</v>
      </c>
      <c r="W5" s="12">
        <v>0</v>
      </c>
      <c r="X5" s="12">
        <v>1</v>
      </c>
      <c r="Y5" s="12">
        <v>0</v>
      </c>
      <c r="Z5" s="12">
        <v>0</v>
      </c>
      <c r="AA5" s="12">
        <v>1</v>
      </c>
      <c r="AB5" s="12">
        <v>0</v>
      </c>
      <c r="AC5" s="12">
        <v>1</v>
      </c>
      <c r="AD5" s="12">
        <v>1</v>
      </c>
      <c r="AE5" s="12">
        <v>0</v>
      </c>
      <c r="AF5" s="12">
        <v>0</v>
      </c>
      <c r="AG5" s="12">
        <v>0</v>
      </c>
    </row>
    <row r="6" spans="1:33">
      <c r="A6" s="8" t="s">
        <v>44</v>
      </c>
      <c r="B6" s="8" t="s">
        <v>45</v>
      </c>
      <c r="C6" s="9" t="s">
        <v>35</v>
      </c>
      <c r="D6" s="9" t="str">
        <f>VLOOKUP(C6,[1]销售对应表!$C:$J,5,0)</f>
        <v>政府行业组</v>
      </c>
      <c r="E6" s="10" t="s">
        <v>36</v>
      </c>
      <c r="F6" s="11">
        <f t="shared" si="0"/>
        <v>7</v>
      </c>
      <c r="G6" s="12">
        <v>1</v>
      </c>
      <c r="H6" s="12">
        <v>0</v>
      </c>
      <c r="I6" s="12">
        <v>0</v>
      </c>
      <c r="J6" s="12">
        <v>0</v>
      </c>
      <c r="K6" s="12">
        <v>1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1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1</v>
      </c>
      <c r="AB6" s="12">
        <v>1</v>
      </c>
      <c r="AC6" s="12">
        <v>1</v>
      </c>
      <c r="AD6" s="12">
        <v>1</v>
      </c>
      <c r="AE6" s="12">
        <v>0</v>
      </c>
      <c r="AF6" s="12">
        <v>0</v>
      </c>
      <c r="AG6" s="12">
        <v>0</v>
      </c>
    </row>
    <row r="7" spans="1:33">
      <c r="A7" s="8" t="s">
        <v>46</v>
      </c>
      <c r="B7" s="8" t="s">
        <v>47</v>
      </c>
      <c r="C7" s="9" t="s">
        <v>35</v>
      </c>
      <c r="D7" s="9" t="str">
        <f>VLOOKUP(C7,[1]销售对应表!$C:$J,5,0)</f>
        <v>政府行业组</v>
      </c>
      <c r="E7" s="10" t="s">
        <v>36</v>
      </c>
      <c r="F7" s="11">
        <f t="shared" si="0"/>
        <v>7</v>
      </c>
      <c r="G7" s="12">
        <v>0</v>
      </c>
      <c r="H7" s="12">
        <v>1</v>
      </c>
      <c r="I7" s="12">
        <v>0</v>
      </c>
      <c r="J7" s="12">
        <v>0</v>
      </c>
      <c r="K7" s="12">
        <v>0</v>
      </c>
      <c r="L7" s="12">
        <v>1</v>
      </c>
      <c r="M7" s="12">
        <v>1</v>
      </c>
      <c r="N7" s="12">
        <v>1</v>
      </c>
      <c r="O7" s="12">
        <v>0</v>
      </c>
      <c r="P7" s="12">
        <v>1</v>
      </c>
      <c r="Q7" s="12">
        <v>0</v>
      </c>
      <c r="R7" s="12">
        <v>0</v>
      </c>
      <c r="S7" s="12">
        <v>0</v>
      </c>
      <c r="T7" s="12">
        <v>0</v>
      </c>
      <c r="U7" s="12">
        <v>1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1</v>
      </c>
    </row>
    <row r="8" spans="1:33">
      <c r="A8" s="8" t="s">
        <v>48</v>
      </c>
      <c r="B8" s="8" t="s">
        <v>49</v>
      </c>
      <c r="C8" s="9" t="s">
        <v>35</v>
      </c>
      <c r="D8" s="9" t="str">
        <f>VLOOKUP(C8,[1]销售对应表!$C:$J,5,0)</f>
        <v>政府行业组</v>
      </c>
      <c r="E8" s="10" t="s">
        <v>36</v>
      </c>
      <c r="F8" s="11">
        <f t="shared" si="0"/>
        <v>5</v>
      </c>
      <c r="G8" s="12">
        <v>1</v>
      </c>
      <c r="H8" s="12">
        <v>1</v>
      </c>
      <c r="I8" s="12">
        <v>0</v>
      </c>
      <c r="J8" s="12">
        <v>0</v>
      </c>
      <c r="K8" s="12">
        <v>1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1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1</v>
      </c>
    </row>
    <row r="9" spans="1:33">
      <c r="A9" s="8" t="s">
        <v>50</v>
      </c>
      <c r="B9" s="8" t="s">
        <v>51</v>
      </c>
      <c r="C9" s="9" t="s">
        <v>35</v>
      </c>
      <c r="D9" s="9" t="str">
        <f>VLOOKUP(C9,[1]销售对应表!$C:$J,5,0)</f>
        <v>政府行业组</v>
      </c>
      <c r="E9" s="10" t="s">
        <v>36</v>
      </c>
      <c r="F9" s="11">
        <f t="shared" si="0"/>
        <v>6</v>
      </c>
      <c r="G9" s="12">
        <v>1</v>
      </c>
      <c r="H9" s="12">
        <v>0</v>
      </c>
      <c r="I9" s="12">
        <v>0</v>
      </c>
      <c r="J9" s="12">
        <v>0</v>
      </c>
      <c r="K9" s="12">
        <v>1</v>
      </c>
      <c r="L9" s="12">
        <v>0</v>
      </c>
      <c r="M9" s="12">
        <v>0</v>
      </c>
      <c r="N9" s="12">
        <v>0</v>
      </c>
      <c r="O9" s="12">
        <v>0</v>
      </c>
      <c r="P9" s="12">
        <v>1</v>
      </c>
      <c r="Q9" s="12">
        <v>0</v>
      </c>
      <c r="R9" s="12">
        <v>0</v>
      </c>
      <c r="S9" s="12">
        <v>0</v>
      </c>
      <c r="T9" s="12">
        <v>1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1</v>
      </c>
      <c r="AC9" s="12">
        <v>0</v>
      </c>
      <c r="AD9" s="12">
        <v>1</v>
      </c>
      <c r="AE9" s="12">
        <v>0</v>
      </c>
      <c r="AF9" s="12">
        <v>0</v>
      </c>
      <c r="AG9" s="12">
        <v>0</v>
      </c>
    </row>
    <row r="10" spans="1:33">
      <c r="A10" s="8" t="s">
        <v>52</v>
      </c>
      <c r="B10" s="8" t="s">
        <v>53</v>
      </c>
      <c r="C10" s="9" t="s">
        <v>35</v>
      </c>
      <c r="D10" s="9" t="str">
        <f>VLOOKUP(C10,[1]销售对应表!$C:$J,5,0)</f>
        <v>政府行业组</v>
      </c>
      <c r="E10" s="10" t="s">
        <v>36</v>
      </c>
      <c r="F10" s="11">
        <f t="shared" si="0"/>
        <v>4</v>
      </c>
      <c r="G10" s="12">
        <v>1</v>
      </c>
      <c r="H10" s="12">
        <v>1</v>
      </c>
      <c r="I10" s="12">
        <v>0</v>
      </c>
      <c r="J10" s="12">
        <v>0</v>
      </c>
      <c r="K10" s="12">
        <v>0</v>
      </c>
      <c r="L10" s="12">
        <v>0</v>
      </c>
      <c r="M10" s="12">
        <v>1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1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</row>
    <row r="11" spans="1:33">
      <c r="A11" s="8" t="s">
        <v>54</v>
      </c>
      <c r="B11" s="8" t="s">
        <v>55</v>
      </c>
      <c r="C11" s="9" t="s">
        <v>35</v>
      </c>
      <c r="D11" s="9" t="str">
        <f>VLOOKUP(C11,[1]销售对应表!$C:$J,5,0)</f>
        <v>政府行业组</v>
      </c>
      <c r="E11" s="10" t="s">
        <v>41</v>
      </c>
      <c r="F11" s="11">
        <f t="shared" si="0"/>
        <v>3</v>
      </c>
      <c r="G11" s="12">
        <v>0</v>
      </c>
      <c r="H11" s="12">
        <v>1</v>
      </c>
      <c r="I11" s="12">
        <v>1</v>
      </c>
      <c r="J11" s="12">
        <v>0</v>
      </c>
      <c r="K11" s="12">
        <v>1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</row>
    <row r="12" spans="1:33">
      <c r="A12" s="8" t="s">
        <v>56</v>
      </c>
      <c r="B12" s="8" t="s">
        <v>57</v>
      </c>
      <c r="C12" s="9" t="s">
        <v>35</v>
      </c>
      <c r="D12" s="9" t="str">
        <f>VLOOKUP(C12,[1]销售对应表!$C:$J,5,0)</f>
        <v>政府行业组</v>
      </c>
      <c r="E12" s="10" t="s">
        <v>36</v>
      </c>
      <c r="F12" s="11">
        <f t="shared" si="0"/>
        <v>4</v>
      </c>
      <c r="G12" s="12">
        <v>1</v>
      </c>
      <c r="H12" s="12">
        <v>1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1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1</v>
      </c>
      <c r="AE12" s="12">
        <v>0</v>
      </c>
      <c r="AF12" s="12">
        <v>0</v>
      </c>
      <c r="AG12" s="12">
        <v>0</v>
      </c>
    </row>
    <row r="13" spans="1:33">
      <c r="A13" s="8" t="s">
        <v>58</v>
      </c>
      <c r="B13" s="8" t="s">
        <v>59</v>
      </c>
      <c r="C13" s="9" t="s">
        <v>35</v>
      </c>
      <c r="D13" s="9" t="str">
        <f>VLOOKUP(C13,[1]销售对应表!$C:$J,5,0)</f>
        <v>政府行业组</v>
      </c>
      <c r="E13" s="10" t="s">
        <v>41</v>
      </c>
      <c r="F13" s="11">
        <f t="shared" si="0"/>
        <v>3</v>
      </c>
      <c r="G13" s="12">
        <v>1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1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1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</row>
    <row r="14" spans="1:33">
      <c r="A14" s="8" t="s">
        <v>60</v>
      </c>
      <c r="B14" s="8" t="s">
        <v>61</v>
      </c>
      <c r="C14" s="9" t="s">
        <v>35</v>
      </c>
      <c r="D14" s="9" t="str">
        <f>VLOOKUP(C14,[1]销售对应表!$C:$J,5,0)</f>
        <v>政府行业组</v>
      </c>
      <c r="E14" s="10" t="s">
        <v>41</v>
      </c>
      <c r="F14" s="11">
        <f t="shared" si="0"/>
        <v>2</v>
      </c>
      <c r="G14" s="12">
        <v>1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1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</row>
    <row r="15" spans="1:33">
      <c r="A15" s="8" t="s">
        <v>62</v>
      </c>
      <c r="B15" s="8" t="s">
        <v>63</v>
      </c>
      <c r="C15" s="9" t="s">
        <v>35</v>
      </c>
      <c r="D15" s="9" t="str">
        <f>VLOOKUP(C15,[1]销售对应表!$C:$J,5,0)</f>
        <v>政府行业组</v>
      </c>
      <c r="E15" s="10" t="s">
        <v>41</v>
      </c>
      <c r="F15" s="11">
        <f t="shared" si="0"/>
        <v>3</v>
      </c>
      <c r="G15" s="12">
        <v>1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1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1</v>
      </c>
      <c r="AE15" s="12">
        <v>0</v>
      </c>
      <c r="AF15" s="12">
        <v>0</v>
      </c>
      <c r="AG15" s="12">
        <v>0</v>
      </c>
    </row>
    <row r="16" spans="1:33">
      <c r="A16" s="8" t="s">
        <v>64</v>
      </c>
      <c r="B16" s="8" t="s">
        <v>65</v>
      </c>
      <c r="C16" s="9" t="s">
        <v>35</v>
      </c>
      <c r="D16" s="9" t="str">
        <f>VLOOKUP(C16,[1]销售对应表!$C:$J,5,0)</f>
        <v>政府行业组</v>
      </c>
      <c r="E16" s="10" t="s">
        <v>36</v>
      </c>
      <c r="F16" s="11">
        <f t="shared" si="0"/>
        <v>3</v>
      </c>
      <c r="G16" s="12">
        <v>1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1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1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</row>
    <row r="17" spans="1:33">
      <c r="A17" s="8" t="s">
        <v>66</v>
      </c>
      <c r="B17" s="8" t="s">
        <v>67</v>
      </c>
      <c r="C17" s="9" t="s">
        <v>35</v>
      </c>
      <c r="D17" s="9" t="str">
        <f>VLOOKUP(C17,[1]销售对应表!$C:$J,5,0)</f>
        <v>政府行业组</v>
      </c>
      <c r="E17" s="10" t="s">
        <v>36</v>
      </c>
      <c r="F17" s="11">
        <f t="shared" si="0"/>
        <v>2</v>
      </c>
      <c r="G17" s="12">
        <v>0</v>
      </c>
      <c r="H17" s="12">
        <v>0</v>
      </c>
      <c r="I17" s="12">
        <v>0</v>
      </c>
      <c r="J17" s="12">
        <v>1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1</v>
      </c>
      <c r="AE17" s="12">
        <v>0</v>
      </c>
      <c r="AF17" s="12">
        <v>0</v>
      </c>
      <c r="AG17" s="12">
        <v>0</v>
      </c>
    </row>
    <row r="18" spans="1:33">
      <c r="A18" s="8" t="s">
        <v>68</v>
      </c>
      <c r="B18" s="8" t="s">
        <v>69</v>
      </c>
      <c r="C18" s="9" t="s">
        <v>35</v>
      </c>
      <c r="D18" s="9" t="str">
        <f>VLOOKUP(C18,[1]销售对应表!$C:$J,5,0)</f>
        <v>政府行业组</v>
      </c>
      <c r="E18" s="10" t="s">
        <v>41</v>
      </c>
      <c r="F18" s="11">
        <f t="shared" si="0"/>
        <v>2</v>
      </c>
      <c r="G18" s="12">
        <v>1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1</v>
      </c>
      <c r="AE18" s="12">
        <v>0</v>
      </c>
      <c r="AF18" s="12">
        <v>0</v>
      </c>
      <c r="AG18" s="12">
        <v>0</v>
      </c>
    </row>
    <row r="19" spans="1:33">
      <c r="A19" s="8" t="s">
        <v>70</v>
      </c>
      <c r="B19" s="8" t="s">
        <v>71</v>
      </c>
      <c r="C19" s="9" t="s">
        <v>35</v>
      </c>
      <c r="D19" s="9" t="str">
        <f>VLOOKUP(C19,[1]销售对应表!$C:$J,5,0)</f>
        <v>政府行业组</v>
      </c>
      <c r="E19" s="10" t="s">
        <v>41</v>
      </c>
      <c r="F19" s="11">
        <f t="shared" si="0"/>
        <v>2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1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1</v>
      </c>
      <c r="AE19" s="12">
        <v>0</v>
      </c>
      <c r="AF19" s="12">
        <v>0</v>
      </c>
      <c r="AG19" s="12">
        <v>0</v>
      </c>
    </row>
    <row r="20" spans="1:33">
      <c r="A20" s="8" t="s">
        <v>72</v>
      </c>
      <c r="B20" s="8" t="s">
        <v>73</v>
      </c>
      <c r="C20" s="9" t="s">
        <v>35</v>
      </c>
      <c r="D20" s="9" t="str">
        <f>VLOOKUP(C20,[1]销售对应表!$C:$J,5,0)</f>
        <v>政府行业组</v>
      </c>
      <c r="E20" s="10" t="s">
        <v>41</v>
      </c>
      <c r="F20" s="11">
        <f t="shared" si="0"/>
        <v>2</v>
      </c>
      <c r="G20" s="12">
        <v>0</v>
      </c>
      <c r="H20" s="12">
        <v>1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1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</row>
    <row r="21" spans="1:33">
      <c r="A21" s="8" t="s">
        <v>74</v>
      </c>
      <c r="B21" s="8" t="s">
        <v>75</v>
      </c>
      <c r="C21" s="9" t="s">
        <v>35</v>
      </c>
      <c r="D21" s="9" t="str">
        <f>VLOOKUP(C21,[1]销售对应表!$C:$J,5,0)</f>
        <v>政府行业组</v>
      </c>
      <c r="E21" s="10" t="s">
        <v>41</v>
      </c>
      <c r="F21" s="11">
        <f t="shared" si="0"/>
        <v>1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1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</row>
    <row r="22" spans="1:33">
      <c r="A22" s="8" t="s">
        <v>76</v>
      </c>
      <c r="B22" s="8" t="s">
        <v>77</v>
      </c>
      <c r="C22" s="9" t="s">
        <v>35</v>
      </c>
      <c r="D22" s="9" t="str">
        <f>VLOOKUP(C22,[1]销售对应表!$C:$J,5,0)</f>
        <v>政府行业组</v>
      </c>
      <c r="E22" s="10" t="s">
        <v>41</v>
      </c>
      <c r="F22" s="11">
        <f t="shared" si="0"/>
        <v>1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1</v>
      </c>
      <c r="AE22" s="12">
        <v>0</v>
      </c>
      <c r="AF22" s="12">
        <v>0</v>
      </c>
      <c r="AG22" s="12">
        <v>0</v>
      </c>
    </row>
    <row r="23" spans="1:33">
      <c r="A23" s="8" t="s">
        <v>78</v>
      </c>
      <c r="B23" s="8" t="s">
        <v>79</v>
      </c>
      <c r="C23" s="9" t="s">
        <v>35</v>
      </c>
      <c r="D23" s="9" t="str">
        <f>VLOOKUP(C23,[1]销售对应表!$C:$J,5,0)</f>
        <v>政府行业组</v>
      </c>
      <c r="E23" s="10" t="s">
        <v>41</v>
      </c>
      <c r="F23" s="11">
        <f t="shared" si="0"/>
        <v>1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1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</row>
    <row r="24" spans="1:33">
      <c r="A24" s="8" t="s">
        <v>80</v>
      </c>
      <c r="B24" s="8" t="s">
        <v>81</v>
      </c>
      <c r="C24" s="9" t="s">
        <v>35</v>
      </c>
      <c r="D24" s="9" t="str">
        <f>VLOOKUP(C24,[1]销售对应表!$C:$J,5,0)</f>
        <v>政府行业组</v>
      </c>
      <c r="E24" s="10" t="s">
        <v>41</v>
      </c>
      <c r="F24" s="11">
        <f t="shared" si="0"/>
        <v>1</v>
      </c>
      <c r="G24" s="12">
        <v>1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</row>
    <row r="25" spans="1:33">
      <c r="A25" s="8" t="s">
        <v>82</v>
      </c>
      <c r="B25" s="8" t="s">
        <v>83</v>
      </c>
      <c r="C25" s="9" t="s">
        <v>35</v>
      </c>
      <c r="D25" s="9" t="str">
        <f>VLOOKUP(C25,[1]销售对应表!$C:$J,5,0)</f>
        <v>政府行业组</v>
      </c>
      <c r="E25" s="10" t="s">
        <v>41</v>
      </c>
      <c r="F25" s="11">
        <f t="shared" si="0"/>
        <v>1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1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</row>
    <row r="26" spans="1:33">
      <c r="A26" s="8" t="s">
        <v>84</v>
      </c>
      <c r="B26" s="8" t="s">
        <v>85</v>
      </c>
      <c r="C26" s="9" t="s">
        <v>35</v>
      </c>
      <c r="D26" s="9" t="str">
        <f>VLOOKUP(C26,[1]销售对应表!$C:$J,5,0)</f>
        <v>政府行业组</v>
      </c>
      <c r="E26" s="10" t="s">
        <v>41</v>
      </c>
      <c r="F26" s="11">
        <f t="shared" si="0"/>
        <v>1</v>
      </c>
      <c r="G26" s="12">
        <v>1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</row>
    <row r="27" spans="1:33">
      <c r="A27" s="8" t="s">
        <v>86</v>
      </c>
      <c r="B27" s="8" t="s">
        <v>87</v>
      </c>
      <c r="C27" s="9" t="s">
        <v>35</v>
      </c>
      <c r="D27" s="9" t="str">
        <f>VLOOKUP(C27,[1]销售对应表!$C:$J,5,0)</f>
        <v>政府行业组</v>
      </c>
      <c r="E27" s="10" t="s">
        <v>41</v>
      </c>
      <c r="F27" s="11">
        <f t="shared" si="0"/>
        <v>1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1</v>
      </c>
      <c r="AE27" s="12">
        <v>0</v>
      </c>
      <c r="AF27" s="12">
        <v>0</v>
      </c>
      <c r="AG27" s="12">
        <v>0</v>
      </c>
    </row>
    <row r="28" spans="1:33">
      <c r="A28" s="8" t="s">
        <v>88</v>
      </c>
      <c r="B28" s="8" t="s">
        <v>89</v>
      </c>
      <c r="C28" s="9" t="s">
        <v>35</v>
      </c>
      <c r="D28" s="9" t="str">
        <f>VLOOKUP(C28,[1]销售对应表!$C:$J,5,0)</f>
        <v>政府行业组</v>
      </c>
      <c r="E28" s="10" t="s">
        <v>41</v>
      </c>
      <c r="F28" s="11">
        <f t="shared" si="0"/>
        <v>1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1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</row>
    <row r="29" spans="1:33">
      <c r="A29" s="8" t="s">
        <v>90</v>
      </c>
      <c r="B29" s="8" t="s">
        <v>91</v>
      </c>
      <c r="C29" s="9" t="s">
        <v>92</v>
      </c>
      <c r="D29" s="9" t="str">
        <f>VLOOKUP(C29,[1]销售对应表!$C:$J,5,0)</f>
        <v>政府行业组</v>
      </c>
      <c r="E29" s="10" t="s">
        <v>36</v>
      </c>
      <c r="F29" s="11">
        <f t="shared" si="0"/>
        <v>19</v>
      </c>
      <c r="G29" s="12">
        <v>1</v>
      </c>
      <c r="H29" s="12">
        <v>1</v>
      </c>
      <c r="I29" s="12">
        <v>0</v>
      </c>
      <c r="J29" s="12">
        <v>1</v>
      </c>
      <c r="K29" s="12">
        <v>1</v>
      </c>
      <c r="L29" s="12">
        <v>1</v>
      </c>
      <c r="M29" s="12">
        <v>1</v>
      </c>
      <c r="N29" s="12">
        <v>1</v>
      </c>
      <c r="O29" s="12">
        <v>1</v>
      </c>
      <c r="P29" s="12">
        <v>1</v>
      </c>
      <c r="Q29" s="12">
        <v>0</v>
      </c>
      <c r="R29" s="12">
        <v>0</v>
      </c>
      <c r="S29" s="12">
        <v>0</v>
      </c>
      <c r="T29" s="12">
        <v>1</v>
      </c>
      <c r="U29" s="12">
        <v>1</v>
      </c>
      <c r="V29" s="12">
        <v>1</v>
      </c>
      <c r="W29" s="12">
        <v>1</v>
      </c>
      <c r="X29" s="12">
        <v>0</v>
      </c>
      <c r="Y29" s="12">
        <v>0</v>
      </c>
      <c r="Z29" s="12">
        <v>0</v>
      </c>
      <c r="AA29" s="12">
        <v>1</v>
      </c>
      <c r="AB29" s="12">
        <v>0</v>
      </c>
      <c r="AC29" s="12">
        <v>1</v>
      </c>
      <c r="AD29" s="12">
        <v>1</v>
      </c>
      <c r="AE29" s="12">
        <v>1</v>
      </c>
      <c r="AF29" s="12">
        <v>1</v>
      </c>
      <c r="AG29" s="12">
        <v>1</v>
      </c>
    </row>
    <row r="30" spans="1:33">
      <c r="A30" s="8" t="s">
        <v>93</v>
      </c>
      <c r="B30" s="8" t="s">
        <v>94</v>
      </c>
      <c r="C30" s="9" t="s">
        <v>92</v>
      </c>
      <c r="D30" s="9" t="str">
        <f>VLOOKUP(C30,[1]销售对应表!$C:$J,5,0)</f>
        <v>政府行业组</v>
      </c>
      <c r="E30" s="10" t="s">
        <v>36</v>
      </c>
      <c r="F30" s="11">
        <f t="shared" si="0"/>
        <v>9</v>
      </c>
      <c r="G30" s="12">
        <v>1</v>
      </c>
      <c r="H30" s="12">
        <v>1</v>
      </c>
      <c r="I30" s="12">
        <v>0</v>
      </c>
      <c r="J30" s="12">
        <v>0</v>
      </c>
      <c r="K30" s="12">
        <v>1</v>
      </c>
      <c r="L30" s="12">
        <v>0</v>
      </c>
      <c r="M30" s="12">
        <v>1</v>
      </c>
      <c r="N30" s="12">
        <v>1</v>
      </c>
      <c r="O30" s="12">
        <v>0</v>
      </c>
      <c r="P30" s="12">
        <v>1</v>
      </c>
      <c r="Q30" s="12">
        <v>1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1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1</v>
      </c>
    </row>
    <row r="31" spans="1:33">
      <c r="A31" s="8" t="s">
        <v>95</v>
      </c>
      <c r="B31" s="8" t="s">
        <v>96</v>
      </c>
      <c r="C31" s="9" t="s">
        <v>92</v>
      </c>
      <c r="D31" s="9" t="str">
        <f>VLOOKUP(C31,[1]销售对应表!$C:$J,5,0)</f>
        <v>政府行业组</v>
      </c>
      <c r="E31" s="10" t="s">
        <v>36</v>
      </c>
      <c r="F31" s="11">
        <f t="shared" si="0"/>
        <v>7</v>
      </c>
      <c r="G31" s="12">
        <v>1</v>
      </c>
      <c r="H31" s="12">
        <v>1</v>
      </c>
      <c r="I31" s="12">
        <v>0</v>
      </c>
      <c r="J31" s="12">
        <v>1</v>
      </c>
      <c r="K31" s="12">
        <v>1</v>
      </c>
      <c r="L31" s="12">
        <v>0</v>
      </c>
      <c r="M31" s="12">
        <v>1</v>
      </c>
      <c r="N31" s="12">
        <v>0</v>
      </c>
      <c r="O31" s="12">
        <v>0</v>
      </c>
      <c r="P31" s="12">
        <v>1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1</v>
      </c>
      <c r="AE31" s="12">
        <v>0</v>
      </c>
      <c r="AF31" s="12">
        <v>0</v>
      </c>
      <c r="AG31" s="12">
        <v>0</v>
      </c>
    </row>
    <row r="32" spans="1:33">
      <c r="A32" s="8" t="s">
        <v>97</v>
      </c>
      <c r="B32" s="8" t="s">
        <v>98</v>
      </c>
      <c r="C32" s="9" t="s">
        <v>92</v>
      </c>
      <c r="D32" s="9" t="str">
        <f>VLOOKUP(C32,[1]销售对应表!$C:$J,5,0)</f>
        <v>政府行业组</v>
      </c>
      <c r="E32" s="10" t="s">
        <v>36</v>
      </c>
      <c r="F32" s="11">
        <f t="shared" si="0"/>
        <v>6</v>
      </c>
      <c r="G32" s="12">
        <v>1</v>
      </c>
      <c r="H32" s="12">
        <v>0</v>
      </c>
      <c r="I32" s="12">
        <v>0</v>
      </c>
      <c r="J32" s="12">
        <v>0</v>
      </c>
      <c r="K32" s="12">
        <v>0</v>
      </c>
      <c r="L32" s="12">
        <v>1</v>
      </c>
      <c r="M32" s="12">
        <v>1</v>
      </c>
      <c r="N32" s="12">
        <v>0</v>
      </c>
      <c r="O32" s="12">
        <v>0</v>
      </c>
      <c r="P32" s="12">
        <v>1</v>
      </c>
      <c r="Q32" s="12">
        <v>0</v>
      </c>
      <c r="R32" s="12">
        <v>0</v>
      </c>
      <c r="S32" s="12">
        <v>0</v>
      </c>
      <c r="T32" s="12">
        <v>1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1</v>
      </c>
      <c r="AE32" s="12">
        <v>0</v>
      </c>
      <c r="AF32" s="12">
        <v>0</v>
      </c>
      <c r="AG32" s="12">
        <v>0</v>
      </c>
    </row>
    <row r="33" spans="1:33">
      <c r="A33" s="8" t="s">
        <v>99</v>
      </c>
      <c r="B33" s="8" t="s">
        <v>100</v>
      </c>
      <c r="C33" s="9" t="s">
        <v>92</v>
      </c>
      <c r="D33" s="9" t="str">
        <f>VLOOKUP(C33,[1]销售对应表!$C:$J,5,0)</f>
        <v>政府行业组</v>
      </c>
      <c r="E33" s="10" t="s">
        <v>41</v>
      </c>
      <c r="F33" s="11">
        <f t="shared" si="0"/>
        <v>4</v>
      </c>
      <c r="G33" s="12">
        <v>1</v>
      </c>
      <c r="H33" s="12">
        <v>1</v>
      </c>
      <c r="I33" s="12">
        <v>0</v>
      </c>
      <c r="J33" s="12">
        <v>0</v>
      </c>
      <c r="K33" s="12">
        <v>0</v>
      </c>
      <c r="L33" s="12">
        <v>0</v>
      </c>
      <c r="M33" s="12">
        <v>1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1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</row>
    <row r="34" spans="1:33">
      <c r="A34" s="8" t="s">
        <v>101</v>
      </c>
      <c r="B34" s="8" t="s">
        <v>102</v>
      </c>
      <c r="C34" s="9" t="s">
        <v>92</v>
      </c>
      <c r="D34" s="9" t="str">
        <f>VLOOKUP(C34,[1]销售对应表!$C:$J,5,0)</f>
        <v>政府行业组</v>
      </c>
      <c r="E34" s="10" t="s">
        <v>36</v>
      </c>
      <c r="F34" s="11">
        <f t="shared" si="0"/>
        <v>5</v>
      </c>
      <c r="G34" s="12">
        <v>0</v>
      </c>
      <c r="H34" s="12">
        <v>0</v>
      </c>
      <c r="I34" s="12">
        <v>0</v>
      </c>
      <c r="J34" s="12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1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1</v>
      </c>
      <c r="AC34" s="12">
        <v>0</v>
      </c>
      <c r="AD34" s="12">
        <v>1</v>
      </c>
      <c r="AE34" s="12">
        <v>0</v>
      </c>
      <c r="AF34" s="12">
        <v>0</v>
      </c>
      <c r="AG34" s="12">
        <v>1</v>
      </c>
    </row>
    <row r="35" spans="1:33">
      <c r="A35" s="8" t="s">
        <v>103</v>
      </c>
      <c r="B35" s="8" t="s">
        <v>104</v>
      </c>
      <c r="C35" s="9" t="s">
        <v>92</v>
      </c>
      <c r="D35" s="9" t="str">
        <f>VLOOKUP(C35,[1]销售对应表!$C:$J,5,0)</f>
        <v>政府行业组</v>
      </c>
      <c r="E35" s="10" t="s">
        <v>41</v>
      </c>
      <c r="F35" s="11">
        <f t="shared" si="0"/>
        <v>4</v>
      </c>
      <c r="G35" s="12">
        <v>1</v>
      </c>
      <c r="H35" s="12">
        <v>0</v>
      </c>
      <c r="I35" s="12">
        <v>0</v>
      </c>
      <c r="J35" s="12">
        <v>1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1</v>
      </c>
      <c r="AC35" s="12">
        <v>0</v>
      </c>
      <c r="AD35" s="12">
        <v>0</v>
      </c>
      <c r="AE35" s="12">
        <v>0</v>
      </c>
      <c r="AF35" s="12">
        <v>0</v>
      </c>
      <c r="AG35" s="12">
        <v>1</v>
      </c>
    </row>
    <row r="36" spans="1:33">
      <c r="A36" s="8" t="s">
        <v>105</v>
      </c>
      <c r="B36" s="8" t="s">
        <v>106</v>
      </c>
      <c r="C36" s="9" t="s">
        <v>92</v>
      </c>
      <c r="D36" s="9" t="str">
        <f>VLOOKUP(C36,[1]销售对应表!$C:$J,5,0)</f>
        <v>政府行业组</v>
      </c>
      <c r="E36" s="10" t="s">
        <v>41</v>
      </c>
      <c r="F36" s="11">
        <f t="shared" si="0"/>
        <v>4</v>
      </c>
      <c r="G36" s="12">
        <v>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1</v>
      </c>
      <c r="Q36" s="12">
        <v>0</v>
      </c>
      <c r="R36" s="12">
        <v>0</v>
      </c>
      <c r="S36" s="12">
        <v>0</v>
      </c>
      <c r="T36" s="12">
        <v>1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1</v>
      </c>
    </row>
    <row r="37" spans="1:33">
      <c r="A37" s="8" t="s">
        <v>107</v>
      </c>
      <c r="B37" s="8" t="s">
        <v>108</v>
      </c>
      <c r="C37" s="9" t="s">
        <v>92</v>
      </c>
      <c r="D37" s="9" t="str">
        <f>VLOOKUP(C37,[1]销售对应表!$C:$J,5,0)</f>
        <v>政府行业组</v>
      </c>
      <c r="E37" s="10" t="s">
        <v>41</v>
      </c>
      <c r="F37" s="11">
        <f t="shared" si="0"/>
        <v>4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1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1</v>
      </c>
      <c r="Y37" s="12">
        <v>0</v>
      </c>
      <c r="Z37" s="12">
        <v>0</v>
      </c>
      <c r="AA37" s="12">
        <v>0</v>
      </c>
      <c r="AB37" s="12">
        <v>1</v>
      </c>
      <c r="AC37" s="12">
        <v>0</v>
      </c>
      <c r="AD37" s="12">
        <v>1</v>
      </c>
      <c r="AE37" s="12">
        <v>0</v>
      </c>
      <c r="AF37" s="12">
        <v>0</v>
      </c>
      <c r="AG37" s="12">
        <v>0</v>
      </c>
    </row>
    <row r="38" spans="1:33">
      <c r="A38" s="8" t="s">
        <v>109</v>
      </c>
      <c r="B38" s="8" t="s">
        <v>110</v>
      </c>
      <c r="C38" s="9" t="s">
        <v>92</v>
      </c>
      <c r="D38" s="9" t="str">
        <f>VLOOKUP(C38,[1]销售对应表!$C:$J,5,0)</f>
        <v>政府行业组</v>
      </c>
      <c r="E38" s="10" t="s">
        <v>41</v>
      </c>
      <c r="F38" s="11">
        <f t="shared" si="0"/>
        <v>4</v>
      </c>
      <c r="G38" s="12">
        <v>0</v>
      </c>
      <c r="H38" s="12">
        <v>1</v>
      </c>
      <c r="I38" s="12">
        <v>1</v>
      </c>
      <c r="J38" s="12">
        <v>0</v>
      </c>
      <c r="K38" s="12">
        <v>0</v>
      </c>
      <c r="L38" s="12">
        <v>0</v>
      </c>
      <c r="M38" s="12">
        <v>1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1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</row>
    <row r="39" spans="1:33">
      <c r="A39" s="8" t="s">
        <v>111</v>
      </c>
      <c r="B39" s="8" t="s">
        <v>112</v>
      </c>
      <c r="C39" s="9" t="s">
        <v>92</v>
      </c>
      <c r="D39" s="9" t="str">
        <f>VLOOKUP(C39,[1]销售对应表!$C:$J,5,0)</f>
        <v>政府行业组</v>
      </c>
      <c r="E39" s="10" t="s">
        <v>41</v>
      </c>
      <c r="F39" s="11">
        <f t="shared" si="0"/>
        <v>3</v>
      </c>
      <c r="G39" s="12">
        <v>1</v>
      </c>
      <c r="H39" s="12">
        <v>1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1</v>
      </c>
      <c r="AE39" s="12">
        <v>0</v>
      </c>
      <c r="AF39" s="12">
        <v>0</v>
      </c>
      <c r="AG39" s="12">
        <v>0</v>
      </c>
    </row>
    <row r="40" spans="1:33">
      <c r="A40" s="8" t="s">
        <v>113</v>
      </c>
      <c r="B40" s="8" t="s">
        <v>114</v>
      </c>
      <c r="C40" s="9" t="s">
        <v>92</v>
      </c>
      <c r="D40" s="9" t="str">
        <f>VLOOKUP(C40,[1]销售对应表!$C:$J,5,0)</f>
        <v>政府行业组</v>
      </c>
      <c r="E40" s="10" t="s">
        <v>41</v>
      </c>
      <c r="F40" s="11">
        <f t="shared" si="0"/>
        <v>3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1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1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1</v>
      </c>
      <c r="AE40" s="12">
        <v>0</v>
      </c>
      <c r="AF40" s="12">
        <v>0</v>
      </c>
      <c r="AG40" s="12">
        <v>0</v>
      </c>
    </row>
    <row r="41" spans="1:33">
      <c r="A41" s="8" t="s">
        <v>115</v>
      </c>
      <c r="B41" s="8" t="s">
        <v>116</v>
      </c>
      <c r="C41" s="9" t="s">
        <v>92</v>
      </c>
      <c r="D41" s="9" t="str">
        <f>VLOOKUP(C41,[1]销售对应表!$C:$J,5,0)</f>
        <v>政府行业组</v>
      </c>
      <c r="E41" s="10" t="s">
        <v>36</v>
      </c>
      <c r="F41" s="11">
        <f t="shared" si="0"/>
        <v>3</v>
      </c>
      <c r="G41" s="12">
        <v>0</v>
      </c>
      <c r="H41" s="12">
        <v>1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1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1</v>
      </c>
      <c r="AE41" s="12">
        <v>0</v>
      </c>
      <c r="AF41" s="12">
        <v>0</v>
      </c>
      <c r="AG41" s="12">
        <v>0</v>
      </c>
    </row>
    <row r="42" spans="1:33">
      <c r="A42" s="8" t="s">
        <v>117</v>
      </c>
      <c r="B42" s="8" t="s">
        <v>118</v>
      </c>
      <c r="C42" s="9" t="s">
        <v>92</v>
      </c>
      <c r="D42" s="9" t="str">
        <f>VLOOKUP(C42,[1]销售对应表!$C:$J,5,0)</f>
        <v>政府行业组</v>
      </c>
      <c r="E42" s="10" t="s">
        <v>36</v>
      </c>
      <c r="F42" s="11">
        <f t="shared" si="0"/>
        <v>3</v>
      </c>
      <c r="G42" s="12">
        <v>0</v>
      </c>
      <c r="H42" s="12">
        <v>1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1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1</v>
      </c>
      <c r="AE42" s="12">
        <v>0</v>
      </c>
      <c r="AF42" s="12">
        <v>0</v>
      </c>
      <c r="AG42" s="12">
        <v>0</v>
      </c>
    </row>
    <row r="43" spans="1:33">
      <c r="A43" s="8" t="s">
        <v>119</v>
      </c>
      <c r="B43" s="8" t="s">
        <v>120</v>
      </c>
      <c r="C43" s="9" t="s">
        <v>92</v>
      </c>
      <c r="D43" s="9" t="str">
        <f>VLOOKUP(C43,[1]销售对应表!$C:$J,5,0)</f>
        <v>政府行业组</v>
      </c>
      <c r="E43" s="10" t="s">
        <v>41</v>
      </c>
      <c r="F43" s="11">
        <f t="shared" si="0"/>
        <v>3</v>
      </c>
      <c r="G43" s="12">
        <v>1</v>
      </c>
      <c r="H43" s="12">
        <v>0</v>
      </c>
      <c r="I43" s="12">
        <v>0</v>
      </c>
      <c r="J43" s="12">
        <v>0</v>
      </c>
      <c r="K43" s="12">
        <v>1</v>
      </c>
      <c r="L43" s="12">
        <v>0</v>
      </c>
      <c r="M43" s="12">
        <v>1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</row>
    <row r="44" spans="1:33">
      <c r="A44" s="8" t="s">
        <v>121</v>
      </c>
      <c r="B44" s="8" t="s">
        <v>122</v>
      </c>
      <c r="C44" s="9" t="s">
        <v>92</v>
      </c>
      <c r="D44" s="9" t="str">
        <f>VLOOKUP(C44,[1]销售对应表!$C:$J,5,0)</f>
        <v>政府行业组</v>
      </c>
      <c r="E44" s="10" t="s">
        <v>41</v>
      </c>
      <c r="F44" s="11">
        <f t="shared" si="0"/>
        <v>2</v>
      </c>
      <c r="G44" s="12">
        <v>1</v>
      </c>
      <c r="H44" s="12">
        <v>1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</row>
    <row r="45" spans="1:33">
      <c r="A45" s="8" t="s">
        <v>123</v>
      </c>
      <c r="B45" s="8" t="s">
        <v>124</v>
      </c>
      <c r="C45" s="9" t="s">
        <v>92</v>
      </c>
      <c r="D45" s="9" t="str">
        <f>VLOOKUP(C45,[1]销售对应表!$C:$J,5,0)</f>
        <v>政府行业组</v>
      </c>
      <c r="E45" s="10" t="s">
        <v>41</v>
      </c>
      <c r="F45" s="11">
        <f t="shared" si="0"/>
        <v>2</v>
      </c>
      <c r="G45" s="12">
        <v>1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1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</row>
    <row r="46" spans="1:33">
      <c r="A46" s="8" t="s">
        <v>125</v>
      </c>
      <c r="B46" s="8" t="s">
        <v>126</v>
      </c>
      <c r="C46" s="9" t="s">
        <v>92</v>
      </c>
      <c r="D46" s="9" t="str">
        <f>VLOOKUP(C46,[1]销售对应表!$C:$J,5,0)</f>
        <v>政府行业组</v>
      </c>
      <c r="E46" s="10" t="s">
        <v>41</v>
      </c>
      <c r="F46" s="11">
        <f t="shared" si="0"/>
        <v>2</v>
      </c>
      <c r="G46" s="12">
        <v>1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1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</row>
    <row r="47" spans="1:33">
      <c r="A47" s="8" t="s">
        <v>127</v>
      </c>
      <c r="B47" s="8" t="s">
        <v>128</v>
      </c>
      <c r="C47" s="9" t="s">
        <v>92</v>
      </c>
      <c r="D47" s="9" t="str">
        <f>VLOOKUP(C47,[1]销售对应表!$C:$J,5,0)</f>
        <v>政府行业组</v>
      </c>
      <c r="E47" s="10" t="s">
        <v>41</v>
      </c>
      <c r="F47" s="11">
        <f t="shared" si="0"/>
        <v>2</v>
      </c>
      <c r="G47" s="12">
        <v>1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1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</row>
    <row r="48" spans="1:33">
      <c r="A48" s="8" t="s">
        <v>129</v>
      </c>
      <c r="B48" s="8" t="s">
        <v>130</v>
      </c>
      <c r="C48" s="9" t="s">
        <v>92</v>
      </c>
      <c r="D48" s="9" t="str">
        <f>VLOOKUP(C48,[1]销售对应表!$C:$J,5,0)</f>
        <v>政府行业组</v>
      </c>
      <c r="E48" s="10" t="s">
        <v>41</v>
      </c>
      <c r="F48" s="11">
        <f t="shared" si="0"/>
        <v>1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1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</row>
    <row r="49" spans="1:33">
      <c r="A49" s="8" t="s">
        <v>131</v>
      </c>
      <c r="B49" s="8" t="s">
        <v>132</v>
      </c>
      <c r="C49" s="9" t="s">
        <v>92</v>
      </c>
      <c r="D49" s="9" t="str">
        <f>VLOOKUP(C49,[1]销售对应表!$C:$J,5,0)</f>
        <v>政府行业组</v>
      </c>
      <c r="E49" s="10" t="s">
        <v>41</v>
      </c>
      <c r="F49" s="11">
        <f t="shared" si="0"/>
        <v>1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1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</row>
    <row r="50" spans="1:33">
      <c r="A50" s="8" t="s">
        <v>133</v>
      </c>
      <c r="B50" s="8" t="s">
        <v>134</v>
      </c>
      <c r="C50" s="9" t="s">
        <v>92</v>
      </c>
      <c r="D50" s="9" t="str">
        <f>VLOOKUP(C50,[1]销售对应表!$C:$J,5,0)</f>
        <v>政府行业组</v>
      </c>
      <c r="E50" s="10" t="s">
        <v>41</v>
      </c>
      <c r="F50" s="11">
        <f t="shared" si="0"/>
        <v>1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1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</row>
    <row r="51" spans="1:33">
      <c r="A51" s="8" t="s">
        <v>135</v>
      </c>
      <c r="B51" s="8" t="s">
        <v>136</v>
      </c>
      <c r="C51" s="9" t="s">
        <v>92</v>
      </c>
      <c r="D51" s="9" t="str">
        <f>VLOOKUP(C51,[1]销售对应表!$C:$J,5,0)</f>
        <v>政府行业组</v>
      </c>
      <c r="E51" s="10" t="s">
        <v>41</v>
      </c>
      <c r="F51" s="11">
        <f t="shared" si="0"/>
        <v>1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1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</row>
    <row r="52" spans="1:33">
      <c r="A52" s="8" t="s">
        <v>137</v>
      </c>
      <c r="B52" s="8" t="s">
        <v>138</v>
      </c>
      <c r="C52" s="9" t="s">
        <v>92</v>
      </c>
      <c r="D52" s="9" t="str">
        <f>VLOOKUP(C52,[1]销售对应表!$C:$J,5,0)</f>
        <v>政府行业组</v>
      </c>
      <c r="E52" s="10" t="s">
        <v>41</v>
      </c>
      <c r="F52" s="11">
        <f t="shared" si="0"/>
        <v>1</v>
      </c>
      <c r="G52" s="12">
        <v>1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</row>
    <row r="53" spans="1:33">
      <c r="A53" s="8" t="s">
        <v>139</v>
      </c>
      <c r="B53" s="8" t="s">
        <v>140</v>
      </c>
      <c r="C53" s="9" t="s">
        <v>92</v>
      </c>
      <c r="D53" s="9" t="str">
        <f>VLOOKUP(C53,[1]销售对应表!$C:$J,5,0)</f>
        <v>政府行业组</v>
      </c>
      <c r="E53" s="10" t="s">
        <v>41</v>
      </c>
      <c r="F53" s="11">
        <f t="shared" si="0"/>
        <v>1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1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</row>
    <row r="54" spans="1:33">
      <c r="A54" s="8" t="s">
        <v>141</v>
      </c>
      <c r="B54" s="8" t="s">
        <v>142</v>
      </c>
      <c r="C54" s="9" t="s">
        <v>92</v>
      </c>
      <c r="D54" s="9" t="str">
        <f>VLOOKUP(C54,[1]销售对应表!$C:$J,5,0)</f>
        <v>政府行业组</v>
      </c>
      <c r="E54" s="10" t="s">
        <v>41</v>
      </c>
      <c r="F54" s="11">
        <f t="shared" si="0"/>
        <v>1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1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</row>
    <row r="55" spans="1:33">
      <c r="A55" s="8" t="s">
        <v>143</v>
      </c>
      <c r="B55" s="8" t="s">
        <v>144</v>
      </c>
      <c r="C55" s="9" t="s">
        <v>92</v>
      </c>
      <c r="D55" s="9" t="str">
        <f>VLOOKUP(C55,[1]销售对应表!$C:$J,5,0)</f>
        <v>政府行业组</v>
      </c>
      <c r="E55" s="10" t="s">
        <v>41</v>
      </c>
      <c r="F55" s="11">
        <f t="shared" si="0"/>
        <v>1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1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</row>
    <row r="56" spans="1:33">
      <c r="A56" s="8" t="s">
        <v>145</v>
      </c>
      <c r="B56" s="8" t="s">
        <v>146</v>
      </c>
      <c r="C56" s="9" t="s">
        <v>92</v>
      </c>
      <c r="D56" s="9" t="str">
        <f>VLOOKUP(C56,[1]销售对应表!$C:$J,5,0)</f>
        <v>政府行业组</v>
      </c>
      <c r="E56" s="10" t="s">
        <v>41</v>
      </c>
      <c r="F56" s="11">
        <f t="shared" si="0"/>
        <v>1</v>
      </c>
      <c r="G56" s="12">
        <v>0</v>
      </c>
      <c r="H56" s="12">
        <v>1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</row>
    <row r="57" spans="1:33">
      <c r="A57" s="8" t="s">
        <v>147</v>
      </c>
      <c r="B57" s="8" t="s">
        <v>148</v>
      </c>
      <c r="C57" s="9" t="s">
        <v>92</v>
      </c>
      <c r="D57" s="9" t="str">
        <f>VLOOKUP(C57,[1]销售对应表!$C:$J,5,0)</f>
        <v>政府行业组</v>
      </c>
      <c r="E57" s="10" t="s">
        <v>41</v>
      </c>
      <c r="F57" s="11">
        <f t="shared" si="0"/>
        <v>1</v>
      </c>
      <c r="G57" s="12">
        <v>1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</row>
    <row r="58" spans="1:33">
      <c r="A58" s="8" t="s">
        <v>149</v>
      </c>
      <c r="B58" s="8" t="s">
        <v>150</v>
      </c>
      <c r="C58" s="9" t="s">
        <v>92</v>
      </c>
      <c r="D58" s="9" t="str">
        <f>VLOOKUP(C58,[1]销售对应表!$C:$J,5,0)</f>
        <v>政府行业组</v>
      </c>
      <c r="E58" s="10" t="s">
        <v>41</v>
      </c>
      <c r="F58" s="11">
        <f t="shared" si="0"/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</row>
    <row r="59" spans="1:33">
      <c r="A59" s="8" t="s">
        <v>151</v>
      </c>
      <c r="B59" s="8" t="s">
        <v>152</v>
      </c>
      <c r="C59" s="9" t="s">
        <v>153</v>
      </c>
      <c r="D59" s="9" t="str">
        <f>VLOOKUP(C59,[1]销售对应表!$C:$J,5,0)</f>
        <v>政府行业组</v>
      </c>
      <c r="E59" s="10" t="s">
        <v>36</v>
      </c>
      <c r="F59" s="11">
        <f t="shared" si="0"/>
        <v>10</v>
      </c>
      <c r="G59" s="12">
        <v>1</v>
      </c>
      <c r="H59" s="12">
        <v>1</v>
      </c>
      <c r="I59" s="12">
        <v>0</v>
      </c>
      <c r="J59" s="12">
        <v>0</v>
      </c>
      <c r="K59" s="12">
        <v>0</v>
      </c>
      <c r="L59" s="12">
        <v>0</v>
      </c>
      <c r="M59" s="12">
        <v>1</v>
      </c>
      <c r="N59" s="12">
        <v>1</v>
      </c>
      <c r="O59" s="12">
        <v>0</v>
      </c>
      <c r="P59" s="12">
        <v>1</v>
      </c>
      <c r="Q59" s="12">
        <v>0</v>
      </c>
      <c r="R59" s="12">
        <v>0</v>
      </c>
      <c r="S59" s="12">
        <v>1</v>
      </c>
      <c r="T59" s="12">
        <v>1</v>
      </c>
      <c r="U59" s="12">
        <v>1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1</v>
      </c>
      <c r="AB59" s="12">
        <v>0</v>
      </c>
      <c r="AC59" s="12">
        <v>0</v>
      </c>
      <c r="AD59" s="12">
        <v>1</v>
      </c>
      <c r="AE59" s="12">
        <v>0</v>
      </c>
      <c r="AF59" s="12">
        <v>0</v>
      </c>
      <c r="AG59" s="12">
        <v>0</v>
      </c>
    </row>
    <row r="60" spans="1:33">
      <c r="A60" s="8" t="s">
        <v>154</v>
      </c>
      <c r="B60" s="8" t="s">
        <v>155</v>
      </c>
      <c r="C60" s="9" t="s">
        <v>153</v>
      </c>
      <c r="D60" s="9" t="str">
        <f>VLOOKUP(C60,[1]销售对应表!$C:$J,5,0)</f>
        <v>政府行业组</v>
      </c>
      <c r="E60" s="10" t="s">
        <v>36</v>
      </c>
      <c r="F60" s="11">
        <f t="shared" si="0"/>
        <v>10</v>
      </c>
      <c r="G60" s="12">
        <v>1</v>
      </c>
      <c r="H60" s="12">
        <v>1</v>
      </c>
      <c r="I60" s="12">
        <v>0</v>
      </c>
      <c r="J60" s="12">
        <v>1</v>
      </c>
      <c r="K60" s="12">
        <v>0</v>
      </c>
      <c r="L60" s="12">
        <v>0</v>
      </c>
      <c r="M60" s="12">
        <v>0</v>
      </c>
      <c r="N60" s="12">
        <v>1</v>
      </c>
      <c r="O60" s="12">
        <v>0</v>
      </c>
      <c r="P60" s="12">
        <v>1</v>
      </c>
      <c r="Q60" s="12">
        <v>0</v>
      </c>
      <c r="R60" s="12">
        <v>0</v>
      </c>
      <c r="S60" s="12">
        <v>0</v>
      </c>
      <c r="T60" s="12">
        <v>1</v>
      </c>
      <c r="U60" s="12">
        <v>0</v>
      </c>
      <c r="V60" s="12">
        <v>1</v>
      </c>
      <c r="W60" s="12">
        <v>0</v>
      </c>
      <c r="X60" s="12">
        <v>0</v>
      </c>
      <c r="Y60" s="12">
        <v>0</v>
      </c>
      <c r="Z60" s="12">
        <v>0</v>
      </c>
      <c r="AA60" s="12">
        <v>1</v>
      </c>
      <c r="AB60" s="12">
        <v>0</v>
      </c>
      <c r="AC60" s="12">
        <v>0</v>
      </c>
      <c r="AD60" s="12">
        <v>1</v>
      </c>
      <c r="AE60" s="12">
        <v>0</v>
      </c>
      <c r="AF60" s="12">
        <v>0</v>
      </c>
      <c r="AG60" s="12">
        <v>1</v>
      </c>
    </row>
    <row r="61" spans="1:33">
      <c r="A61" s="8" t="s">
        <v>156</v>
      </c>
      <c r="B61" s="8" t="s">
        <v>157</v>
      </c>
      <c r="C61" s="9" t="s">
        <v>153</v>
      </c>
      <c r="D61" s="9" t="str">
        <f>VLOOKUP(C61,[1]销售对应表!$C:$J,5,0)</f>
        <v>政府行业组</v>
      </c>
      <c r="E61" s="10" t="s">
        <v>36</v>
      </c>
      <c r="F61" s="11">
        <f t="shared" si="0"/>
        <v>8</v>
      </c>
      <c r="G61" s="12">
        <v>1</v>
      </c>
      <c r="H61" s="12">
        <v>0</v>
      </c>
      <c r="I61" s="12">
        <v>0</v>
      </c>
      <c r="J61" s="12">
        <v>1</v>
      </c>
      <c r="K61" s="12">
        <v>1</v>
      </c>
      <c r="L61" s="12">
        <v>0</v>
      </c>
      <c r="M61" s="12">
        <v>0</v>
      </c>
      <c r="N61" s="12">
        <v>1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1</v>
      </c>
      <c r="U61" s="12">
        <v>0</v>
      </c>
      <c r="V61" s="12">
        <v>1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1</v>
      </c>
      <c r="AE61" s="12">
        <v>0</v>
      </c>
      <c r="AF61" s="12">
        <v>1</v>
      </c>
      <c r="AG61" s="12">
        <v>0</v>
      </c>
    </row>
    <row r="62" spans="1:33">
      <c r="A62" s="8" t="s">
        <v>158</v>
      </c>
      <c r="B62" s="8" t="s">
        <v>159</v>
      </c>
      <c r="C62" s="9" t="s">
        <v>153</v>
      </c>
      <c r="D62" s="9" t="str">
        <f>VLOOKUP(C62,[1]销售对应表!$C:$J,5,0)</f>
        <v>政府行业组</v>
      </c>
      <c r="E62" s="10" t="s">
        <v>36</v>
      </c>
      <c r="F62" s="11">
        <f t="shared" si="0"/>
        <v>8</v>
      </c>
      <c r="G62" s="12">
        <v>1</v>
      </c>
      <c r="H62" s="12">
        <v>1</v>
      </c>
      <c r="I62" s="12">
        <v>0</v>
      </c>
      <c r="J62" s="12">
        <v>0</v>
      </c>
      <c r="K62" s="12">
        <v>1</v>
      </c>
      <c r="L62" s="12">
        <v>1</v>
      </c>
      <c r="M62" s="12">
        <v>1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1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1</v>
      </c>
      <c r="AB62" s="12">
        <v>0</v>
      </c>
      <c r="AC62" s="12">
        <v>1</v>
      </c>
      <c r="AD62" s="12">
        <v>0</v>
      </c>
      <c r="AE62" s="12">
        <v>0</v>
      </c>
      <c r="AF62" s="12">
        <v>0</v>
      </c>
      <c r="AG62" s="12">
        <v>0</v>
      </c>
    </row>
    <row r="63" spans="1:33">
      <c r="A63" s="8" t="s">
        <v>160</v>
      </c>
      <c r="B63" s="8" t="s">
        <v>161</v>
      </c>
      <c r="C63" s="9" t="s">
        <v>153</v>
      </c>
      <c r="D63" s="9" t="str">
        <f>VLOOKUP(C63,[1]销售对应表!$C:$J,5,0)</f>
        <v>政府行业组</v>
      </c>
      <c r="E63" s="10" t="s">
        <v>36</v>
      </c>
      <c r="F63" s="11">
        <f t="shared" si="0"/>
        <v>6</v>
      </c>
      <c r="G63" s="12">
        <v>1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1</v>
      </c>
      <c r="N63" s="12">
        <v>0</v>
      </c>
      <c r="O63" s="12">
        <v>0</v>
      </c>
      <c r="P63" s="12">
        <v>0</v>
      </c>
      <c r="Q63" s="12">
        <v>1</v>
      </c>
      <c r="R63" s="12">
        <v>1</v>
      </c>
      <c r="S63" s="12">
        <v>0</v>
      </c>
      <c r="T63" s="12">
        <v>1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1</v>
      </c>
      <c r="AE63" s="12">
        <v>0</v>
      </c>
      <c r="AF63" s="12">
        <v>0</v>
      </c>
      <c r="AG63" s="12">
        <v>0</v>
      </c>
    </row>
    <row r="64" spans="1:33">
      <c r="A64" s="8" t="s">
        <v>162</v>
      </c>
      <c r="B64" s="8" t="s">
        <v>163</v>
      </c>
      <c r="C64" s="9" t="s">
        <v>153</v>
      </c>
      <c r="D64" s="9" t="str">
        <f>VLOOKUP(C64,[1]销售对应表!$C:$J,5,0)</f>
        <v>政府行业组</v>
      </c>
      <c r="E64" s="10" t="s">
        <v>41</v>
      </c>
      <c r="F64" s="11">
        <f t="shared" si="0"/>
        <v>4</v>
      </c>
      <c r="G64" s="12">
        <v>1</v>
      </c>
      <c r="H64" s="12">
        <v>1</v>
      </c>
      <c r="I64" s="12">
        <v>0</v>
      </c>
      <c r="J64" s="12">
        <v>0</v>
      </c>
      <c r="K64" s="12">
        <v>1</v>
      </c>
      <c r="L64" s="12">
        <v>0</v>
      </c>
      <c r="M64" s="12">
        <v>1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</row>
    <row r="65" spans="1:33">
      <c r="A65" s="8" t="s">
        <v>164</v>
      </c>
      <c r="B65" s="8" t="s">
        <v>165</v>
      </c>
      <c r="C65" s="9" t="s">
        <v>153</v>
      </c>
      <c r="D65" s="9" t="str">
        <f>VLOOKUP(C65,[1]销售对应表!$C:$J,5,0)</f>
        <v>政府行业组</v>
      </c>
      <c r="E65" s="10" t="s">
        <v>41</v>
      </c>
      <c r="F65" s="11">
        <f t="shared" si="0"/>
        <v>4</v>
      </c>
      <c r="G65" s="12">
        <v>1</v>
      </c>
      <c r="H65" s="12">
        <v>1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1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1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</row>
    <row r="66" spans="1:33">
      <c r="A66" s="8" t="s">
        <v>166</v>
      </c>
      <c r="B66" s="8" t="s">
        <v>167</v>
      </c>
      <c r="C66" s="9" t="s">
        <v>153</v>
      </c>
      <c r="D66" s="9" t="str">
        <f>VLOOKUP(C66,[1]销售对应表!$C:$J,5,0)</f>
        <v>政府行业组</v>
      </c>
      <c r="E66" s="10" t="s">
        <v>41</v>
      </c>
      <c r="F66" s="11">
        <f t="shared" ref="F66:F129" si="1">SUM(G66:AG66)</f>
        <v>5</v>
      </c>
      <c r="G66" s="12">
        <v>1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1</v>
      </c>
      <c r="N66" s="12">
        <v>0</v>
      </c>
      <c r="O66" s="12">
        <v>0</v>
      </c>
      <c r="P66" s="12">
        <v>1</v>
      </c>
      <c r="Q66" s="12">
        <v>0</v>
      </c>
      <c r="R66" s="12">
        <v>0</v>
      </c>
      <c r="S66" s="12">
        <v>0</v>
      </c>
      <c r="T66" s="12">
        <v>1</v>
      </c>
      <c r="U66" s="12">
        <v>0</v>
      </c>
      <c r="V66" s="12">
        <v>0</v>
      </c>
      <c r="W66" s="12">
        <v>0</v>
      </c>
      <c r="X66" s="12">
        <v>1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</row>
    <row r="67" spans="1:33">
      <c r="A67" s="8" t="s">
        <v>168</v>
      </c>
      <c r="B67" s="8" t="s">
        <v>169</v>
      </c>
      <c r="C67" s="9" t="s">
        <v>153</v>
      </c>
      <c r="D67" s="9" t="str">
        <f>VLOOKUP(C67,[1]销售对应表!$C:$J,5,0)</f>
        <v>政府行业组</v>
      </c>
      <c r="E67" s="10" t="s">
        <v>41</v>
      </c>
      <c r="F67" s="11">
        <f t="shared" si="1"/>
        <v>5</v>
      </c>
      <c r="G67" s="12">
        <v>1</v>
      </c>
      <c r="H67" s="12">
        <v>1</v>
      </c>
      <c r="I67" s="12">
        <v>0</v>
      </c>
      <c r="J67" s="12">
        <v>0</v>
      </c>
      <c r="K67" s="12">
        <v>0</v>
      </c>
      <c r="L67" s="12">
        <v>0</v>
      </c>
      <c r="M67" s="12">
        <v>1</v>
      </c>
      <c r="N67" s="12">
        <v>0</v>
      </c>
      <c r="O67" s="12">
        <v>0</v>
      </c>
      <c r="P67" s="12">
        <v>1</v>
      </c>
      <c r="Q67" s="12">
        <v>0</v>
      </c>
      <c r="R67" s="12">
        <v>0</v>
      </c>
      <c r="S67" s="12">
        <v>1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</row>
    <row r="68" spans="1:33">
      <c r="A68" s="8" t="s">
        <v>170</v>
      </c>
      <c r="B68" s="8" t="s">
        <v>171</v>
      </c>
      <c r="C68" s="9" t="s">
        <v>153</v>
      </c>
      <c r="D68" s="9" t="str">
        <f>VLOOKUP(C68,[1]销售对应表!$C:$J,5,0)</f>
        <v>政府行业组</v>
      </c>
      <c r="E68" s="10" t="s">
        <v>36</v>
      </c>
      <c r="F68" s="11">
        <f t="shared" si="1"/>
        <v>3</v>
      </c>
      <c r="G68" s="12">
        <v>1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1</v>
      </c>
      <c r="N68" s="12">
        <v>0</v>
      </c>
      <c r="O68" s="12">
        <v>0</v>
      </c>
      <c r="P68" s="12">
        <v>1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</row>
    <row r="69" spans="1:33">
      <c r="A69" s="8" t="s">
        <v>172</v>
      </c>
      <c r="B69" s="8" t="s">
        <v>173</v>
      </c>
      <c r="C69" s="9" t="s">
        <v>153</v>
      </c>
      <c r="D69" s="9" t="str">
        <f>VLOOKUP(C69,[1]销售对应表!$C:$J,5,0)</f>
        <v>政府行业组</v>
      </c>
      <c r="E69" s="10" t="s">
        <v>41</v>
      </c>
      <c r="F69" s="11">
        <f t="shared" si="1"/>
        <v>4</v>
      </c>
      <c r="G69" s="12">
        <v>0</v>
      </c>
      <c r="H69" s="12">
        <v>1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1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1</v>
      </c>
      <c r="AE69" s="12">
        <v>1</v>
      </c>
      <c r="AF69" s="12">
        <v>0</v>
      </c>
      <c r="AG69" s="12">
        <v>0</v>
      </c>
    </row>
    <row r="70" spans="1:33">
      <c r="A70" s="8" t="s">
        <v>174</v>
      </c>
      <c r="B70" s="8" t="s">
        <v>175</v>
      </c>
      <c r="C70" s="9" t="s">
        <v>153</v>
      </c>
      <c r="D70" s="9" t="str">
        <f>VLOOKUP(C70,[1]销售对应表!$C:$J,5,0)</f>
        <v>政府行业组</v>
      </c>
      <c r="E70" s="10" t="s">
        <v>36</v>
      </c>
      <c r="F70" s="11">
        <f t="shared" si="1"/>
        <v>3</v>
      </c>
      <c r="G70" s="12">
        <v>1</v>
      </c>
      <c r="H70" s="12">
        <v>1</v>
      </c>
      <c r="I70" s="12">
        <v>0</v>
      </c>
      <c r="J70" s="12">
        <v>0</v>
      </c>
      <c r="K70" s="12">
        <v>0</v>
      </c>
      <c r="L70" s="12">
        <v>0</v>
      </c>
      <c r="M70" s="12">
        <v>1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</row>
    <row r="71" spans="1:33">
      <c r="A71" s="8" t="s">
        <v>176</v>
      </c>
      <c r="B71" s="8" t="s">
        <v>177</v>
      </c>
      <c r="C71" s="9" t="s">
        <v>153</v>
      </c>
      <c r="D71" s="9" t="str">
        <f>VLOOKUP(C71,[1]销售对应表!$C:$J,5,0)</f>
        <v>政府行业组</v>
      </c>
      <c r="E71" s="10" t="s">
        <v>36</v>
      </c>
      <c r="F71" s="11">
        <f t="shared" si="1"/>
        <v>4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1</v>
      </c>
      <c r="Q71" s="12">
        <v>0</v>
      </c>
      <c r="R71" s="12">
        <v>0</v>
      </c>
      <c r="S71" s="12">
        <v>1</v>
      </c>
      <c r="T71" s="12">
        <v>1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1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</row>
    <row r="72" spans="1:33">
      <c r="A72" s="8" t="s">
        <v>178</v>
      </c>
      <c r="B72" s="8" t="s">
        <v>179</v>
      </c>
      <c r="C72" s="9" t="s">
        <v>153</v>
      </c>
      <c r="D72" s="9" t="str">
        <f>VLOOKUP(C72,[1]销售对应表!$C:$J,5,0)</f>
        <v>政府行业组</v>
      </c>
      <c r="E72" s="10" t="s">
        <v>41</v>
      </c>
      <c r="F72" s="11">
        <f t="shared" si="1"/>
        <v>2</v>
      </c>
      <c r="G72" s="12">
        <v>1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1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</row>
    <row r="73" spans="1:33">
      <c r="A73" s="8" t="s">
        <v>180</v>
      </c>
      <c r="B73" s="8" t="s">
        <v>181</v>
      </c>
      <c r="C73" s="9" t="s">
        <v>153</v>
      </c>
      <c r="D73" s="9" t="str">
        <f>VLOOKUP(C73,[1]销售对应表!$C:$J,5,0)</f>
        <v>政府行业组</v>
      </c>
      <c r="E73" s="10" t="s">
        <v>41</v>
      </c>
      <c r="F73" s="11">
        <f t="shared" si="1"/>
        <v>3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1</v>
      </c>
      <c r="N73" s="12">
        <v>0</v>
      </c>
      <c r="O73" s="12">
        <v>0</v>
      </c>
      <c r="P73" s="12">
        <v>0</v>
      </c>
      <c r="Q73" s="12">
        <v>0</v>
      </c>
      <c r="R73" s="12">
        <v>1</v>
      </c>
      <c r="S73" s="12">
        <v>0</v>
      </c>
      <c r="T73" s="12">
        <v>1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</row>
    <row r="74" spans="1:33">
      <c r="A74" s="8" t="s">
        <v>182</v>
      </c>
      <c r="B74" s="8" t="s">
        <v>183</v>
      </c>
      <c r="C74" s="9" t="s">
        <v>153</v>
      </c>
      <c r="D74" s="9" t="str">
        <f>VLOOKUP(C74,[1]销售对应表!$C:$J,5,0)</f>
        <v>政府行业组</v>
      </c>
      <c r="E74" s="10" t="s">
        <v>41</v>
      </c>
      <c r="F74" s="11">
        <f t="shared" si="1"/>
        <v>3</v>
      </c>
      <c r="G74" s="12">
        <v>1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1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1</v>
      </c>
      <c r="AE74" s="12">
        <v>0</v>
      </c>
      <c r="AF74" s="12">
        <v>0</v>
      </c>
      <c r="AG74" s="12">
        <v>0</v>
      </c>
    </row>
    <row r="75" spans="1:33">
      <c r="A75" s="8" t="s">
        <v>184</v>
      </c>
      <c r="B75" s="8" t="s">
        <v>185</v>
      </c>
      <c r="C75" s="9" t="s">
        <v>153</v>
      </c>
      <c r="D75" s="9" t="str">
        <f>VLOOKUP(C75,[1]销售对应表!$C:$J,5,0)</f>
        <v>政府行业组</v>
      </c>
      <c r="E75" s="10" t="s">
        <v>41</v>
      </c>
      <c r="F75" s="11">
        <f t="shared" si="1"/>
        <v>2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1</v>
      </c>
      <c r="O75" s="12">
        <v>0</v>
      </c>
      <c r="P75" s="12">
        <v>1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</row>
    <row r="76" spans="1:33">
      <c r="A76" s="8" t="s">
        <v>186</v>
      </c>
      <c r="B76" s="8" t="s">
        <v>187</v>
      </c>
      <c r="C76" s="9" t="s">
        <v>153</v>
      </c>
      <c r="D76" s="9" t="str">
        <f>VLOOKUP(C76,[1]销售对应表!$C:$J,5,0)</f>
        <v>政府行业组</v>
      </c>
      <c r="E76" s="10" t="s">
        <v>36</v>
      </c>
      <c r="F76" s="11">
        <f t="shared" si="1"/>
        <v>2</v>
      </c>
      <c r="G76" s="12">
        <v>1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1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</row>
    <row r="77" spans="1:33">
      <c r="A77" s="8" t="s">
        <v>188</v>
      </c>
      <c r="B77" s="8" t="s">
        <v>189</v>
      </c>
      <c r="C77" s="9" t="s">
        <v>153</v>
      </c>
      <c r="D77" s="9" t="str">
        <f>VLOOKUP(C77,[1]销售对应表!$C:$J,5,0)</f>
        <v>政府行业组</v>
      </c>
      <c r="E77" s="10" t="s">
        <v>41</v>
      </c>
      <c r="F77" s="11">
        <f t="shared" si="1"/>
        <v>1</v>
      </c>
      <c r="G77" s="12">
        <v>1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</row>
    <row r="78" spans="1:33">
      <c r="A78" s="8" t="s">
        <v>190</v>
      </c>
      <c r="B78" s="8" t="s">
        <v>191</v>
      </c>
      <c r="C78" s="9" t="s">
        <v>153</v>
      </c>
      <c r="D78" s="9" t="str">
        <f>VLOOKUP(C78,[1]销售对应表!$C:$J,5,0)</f>
        <v>政府行业组</v>
      </c>
      <c r="E78" s="10" t="s">
        <v>41</v>
      </c>
      <c r="F78" s="11">
        <f t="shared" si="1"/>
        <v>2</v>
      </c>
      <c r="G78" s="12">
        <v>1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1</v>
      </c>
    </row>
    <row r="79" spans="1:33">
      <c r="A79" s="8" t="s">
        <v>192</v>
      </c>
      <c r="B79" s="8" t="s">
        <v>193</v>
      </c>
      <c r="C79" s="9" t="s">
        <v>153</v>
      </c>
      <c r="D79" s="9" t="str">
        <f>VLOOKUP(C79,[1]销售对应表!$C:$J,5,0)</f>
        <v>政府行业组</v>
      </c>
      <c r="E79" s="10" t="s">
        <v>41</v>
      </c>
      <c r="F79" s="11">
        <f t="shared" si="1"/>
        <v>1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1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</row>
    <row r="80" spans="1:33">
      <c r="A80" s="8" t="s">
        <v>194</v>
      </c>
      <c r="B80" s="8" t="s">
        <v>195</v>
      </c>
      <c r="C80" s="9" t="s">
        <v>153</v>
      </c>
      <c r="D80" s="9" t="str">
        <f>VLOOKUP(C80,[1]销售对应表!$C:$J,5,0)</f>
        <v>政府行业组</v>
      </c>
      <c r="E80" s="10" t="s">
        <v>41</v>
      </c>
      <c r="F80" s="11">
        <f t="shared" si="1"/>
        <v>2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1</v>
      </c>
      <c r="AB80" s="12">
        <v>0</v>
      </c>
      <c r="AC80" s="12">
        <v>0</v>
      </c>
      <c r="AD80" s="12">
        <v>1</v>
      </c>
      <c r="AE80" s="12">
        <v>0</v>
      </c>
      <c r="AF80" s="12">
        <v>0</v>
      </c>
      <c r="AG80" s="12">
        <v>0</v>
      </c>
    </row>
    <row r="81" spans="1:33">
      <c r="A81" s="8" t="s">
        <v>196</v>
      </c>
      <c r="B81" s="8" t="s">
        <v>197</v>
      </c>
      <c r="C81" s="9" t="s">
        <v>153</v>
      </c>
      <c r="D81" s="9" t="str">
        <f>VLOOKUP(C81,[1]销售对应表!$C:$J,5,0)</f>
        <v>政府行业组</v>
      </c>
      <c r="E81" s="10" t="s">
        <v>41</v>
      </c>
      <c r="F81" s="11">
        <f t="shared" si="1"/>
        <v>2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1</v>
      </c>
      <c r="Y81" s="12">
        <v>0</v>
      </c>
      <c r="Z81" s="12">
        <v>0</v>
      </c>
      <c r="AA81" s="12">
        <v>0</v>
      </c>
      <c r="AB81" s="12">
        <v>1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</row>
    <row r="82" spans="1:33">
      <c r="A82" s="8" t="s">
        <v>198</v>
      </c>
      <c r="B82" s="8" t="s">
        <v>199</v>
      </c>
      <c r="C82" s="9" t="s">
        <v>153</v>
      </c>
      <c r="D82" s="9" t="str">
        <f>VLOOKUP(C82,[1]销售对应表!$C:$J,5,0)</f>
        <v>政府行业组</v>
      </c>
      <c r="E82" s="10" t="s">
        <v>36</v>
      </c>
      <c r="F82" s="11">
        <f t="shared" si="1"/>
        <v>2</v>
      </c>
      <c r="G82" s="12">
        <v>1</v>
      </c>
      <c r="H82" s="12">
        <v>1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</row>
    <row r="83" spans="1:33">
      <c r="A83" s="8" t="s">
        <v>200</v>
      </c>
      <c r="B83" s="8" t="s">
        <v>201</v>
      </c>
      <c r="C83" s="9" t="s">
        <v>153</v>
      </c>
      <c r="D83" s="9" t="str">
        <f>VLOOKUP(C83,[1]销售对应表!$C:$J,5,0)</f>
        <v>政府行业组</v>
      </c>
      <c r="E83" s="10" t="s">
        <v>41</v>
      </c>
      <c r="F83" s="11">
        <f t="shared" si="1"/>
        <v>1</v>
      </c>
      <c r="G83" s="12">
        <v>0</v>
      </c>
      <c r="H83" s="12">
        <v>1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</row>
    <row r="84" spans="1:33">
      <c r="A84" s="8" t="s">
        <v>202</v>
      </c>
      <c r="B84" s="8" t="s">
        <v>203</v>
      </c>
      <c r="C84" s="9" t="s">
        <v>153</v>
      </c>
      <c r="D84" s="9" t="str">
        <f>VLOOKUP(C84,[1]销售对应表!$C:$J,5,0)</f>
        <v>政府行业组</v>
      </c>
      <c r="E84" s="10" t="s">
        <v>41</v>
      </c>
      <c r="F84" s="11">
        <f t="shared" si="1"/>
        <v>1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1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</row>
    <row r="85" spans="1:33">
      <c r="A85" s="8" t="s">
        <v>204</v>
      </c>
      <c r="B85" s="8" t="s">
        <v>205</v>
      </c>
      <c r="C85" s="9" t="s">
        <v>153</v>
      </c>
      <c r="D85" s="9" t="str">
        <f>VLOOKUP(C85,[1]销售对应表!$C:$J,5,0)</f>
        <v>政府行业组</v>
      </c>
      <c r="E85" s="10" t="s">
        <v>41</v>
      </c>
      <c r="F85" s="11">
        <f t="shared" si="1"/>
        <v>1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1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</row>
    <row r="86" spans="1:33">
      <c r="A86" s="8" t="s">
        <v>206</v>
      </c>
      <c r="B86" s="8" t="s">
        <v>207</v>
      </c>
      <c r="C86" s="9" t="s">
        <v>153</v>
      </c>
      <c r="D86" s="9" t="str">
        <f>VLOOKUP(C86,[1]销售对应表!$C:$J,5,0)</f>
        <v>政府行业组</v>
      </c>
      <c r="E86" s="10" t="s">
        <v>41</v>
      </c>
      <c r="F86" s="11">
        <f t="shared" si="1"/>
        <v>1</v>
      </c>
      <c r="G86" s="12">
        <v>1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</row>
    <row r="87" spans="1:33">
      <c r="A87" s="8" t="s">
        <v>208</v>
      </c>
      <c r="B87" s="8" t="s">
        <v>209</v>
      </c>
      <c r="C87" s="9" t="s">
        <v>153</v>
      </c>
      <c r="D87" s="9" t="str">
        <f>VLOOKUP(C87,[1]销售对应表!$C:$J,5,0)</f>
        <v>政府行业组</v>
      </c>
      <c r="E87" s="10" t="s">
        <v>41</v>
      </c>
      <c r="F87" s="11">
        <f t="shared" si="1"/>
        <v>1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1</v>
      </c>
      <c r="AE87" s="12">
        <v>0</v>
      </c>
      <c r="AF87" s="12">
        <v>0</v>
      </c>
      <c r="AG87" s="12">
        <v>0</v>
      </c>
    </row>
    <row r="88" spans="1:33">
      <c r="A88" s="8" t="s">
        <v>210</v>
      </c>
      <c r="B88" s="8" t="s">
        <v>211</v>
      </c>
      <c r="C88" s="9" t="s">
        <v>153</v>
      </c>
      <c r="D88" s="9" t="str">
        <f>VLOOKUP(C88,[1]销售对应表!$C:$J,5,0)</f>
        <v>政府行业组</v>
      </c>
      <c r="E88" s="10" t="s">
        <v>41</v>
      </c>
      <c r="F88" s="11">
        <f t="shared" si="1"/>
        <v>1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1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</row>
    <row r="89" spans="1:33">
      <c r="A89" s="8" t="s">
        <v>212</v>
      </c>
      <c r="B89" s="8" t="s">
        <v>213</v>
      </c>
      <c r="C89" s="9" t="s">
        <v>153</v>
      </c>
      <c r="D89" s="9" t="str">
        <f>VLOOKUP(C89,[1]销售对应表!$C:$J,5,0)</f>
        <v>政府行业组</v>
      </c>
      <c r="E89" s="10" t="s">
        <v>41</v>
      </c>
      <c r="F89" s="11">
        <f t="shared" si="1"/>
        <v>1</v>
      </c>
      <c r="G89" s="12">
        <v>1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</row>
    <row r="90" spans="1:33">
      <c r="A90" s="8" t="s">
        <v>214</v>
      </c>
      <c r="B90" s="8" t="s">
        <v>215</v>
      </c>
      <c r="C90" s="9" t="s">
        <v>153</v>
      </c>
      <c r="D90" s="9" t="str">
        <f>VLOOKUP(C90,[1]销售对应表!$C:$J,5,0)</f>
        <v>政府行业组</v>
      </c>
      <c r="E90" s="10" t="s">
        <v>41</v>
      </c>
      <c r="F90" s="11">
        <f t="shared" si="1"/>
        <v>1</v>
      </c>
      <c r="G90" s="12">
        <v>0</v>
      </c>
      <c r="H90" s="12">
        <v>1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</row>
    <row r="91" spans="1:33">
      <c r="A91" s="8" t="s">
        <v>216</v>
      </c>
      <c r="B91" s="8" t="s">
        <v>217</v>
      </c>
      <c r="C91" s="9" t="s">
        <v>153</v>
      </c>
      <c r="D91" s="9" t="str">
        <f>VLOOKUP(C91,[1]销售对应表!$C:$J,5,0)</f>
        <v>政府行业组</v>
      </c>
      <c r="E91" s="10" t="s">
        <v>36</v>
      </c>
      <c r="F91" s="11">
        <f t="shared" si="1"/>
        <v>1</v>
      </c>
      <c r="G91" s="12">
        <v>0</v>
      </c>
      <c r="H91" s="12">
        <v>1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</row>
    <row r="92" spans="1:33">
      <c r="A92" s="8" t="s">
        <v>218</v>
      </c>
      <c r="B92" s="8" t="s">
        <v>219</v>
      </c>
      <c r="C92" s="9" t="s">
        <v>153</v>
      </c>
      <c r="D92" s="9" t="str">
        <f>VLOOKUP(C92,[1]销售对应表!$C:$J,5,0)</f>
        <v>政府行业组</v>
      </c>
      <c r="E92" s="10" t="s">
        <v>41</v>
      </c>
      <c r="F92" s="11">
        <f t="shared" si="1"/>
        <v>1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1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</row>
    <row r="93" spans="1:33">
      <c r="A93" s="8" t="s">
        <v>220</v>
      </c>
      <c r="B93" s="8" t="s">
        <v>221</v>
      </c>
      <c r="C93" s="9" t="s">
        <v>153</v>
      </c>
      <c r="D93" s="9" t="str">
        <f>VLOOKUP(C93,[1]销售对应表!$C:$J,5,0)</f>
        <v>政府行业组</v>
      </c>
      <c r="E93" s="10" t="s">
        <v>41</v>
      </c>
      <c r="F93" s="11">
        <f t="shared" si="1"/>
        <v>1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1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</row>
    <row r="94" spans="1:33">
      <c r="A94" s="8" t="s">
        <v>222</v>
      </c>
      <c r="B94" s="8" t="s">
        <v>223</v>
      </c>
      <c r="C94" s="9" t="s">
        <v>153</v>
      </c>
      <c r="D94" s="9" t="str">
        <f>VLOOKUP(C94,[1]销售对应表!$C:$J,5,0)</f>
        <v>政府行业组</v>
      </c>
      <c r="E94" s="10" t="s">
        <v>41</v>
      </c>
      <c r="F94" s="11">
        <f t="shared" si="1"/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</row>
    <row r="95" spans="1:33">
      <c r="A95" s="8" t="s">
        <v>224</v>
      </c>
      <c r="B95" s="8" t="s">
        <v>225</v>
      </c>
      <c r="C95" s="9" t="s">
        <v>226</v>
      </c>
      <c r="D95" s="9" t="str">
        <f>VLOOKUP(C95,[1]销售对应表!$C:$J,5,0)</f>
        <v>政府行业组</v>
      </c>
      <c r="E95" s="10" t="s">
        <v>36</v>
      </c>
      <c r="F95" s="11">
        <f t="shared" si="1"/>
        <v>9</v>
      </c>
      <c r="G95" s="12">
        <v>1</v>
      </c>
      <c r="H95" s="12">
        <v>0</v>
      </c>
      <c r="I95" s="12">
        <v>0</v>
      </c>
      <c r="J95" s="12">
        <v>1</v>
      </c>
      <c r="K95" s="12">
        <v>0</v>
      </c>
      <c r="L95" s="12">
        <v>0</v>
      </c>
      <c r="M95" s="12">
        <v>1</v>
      </c>
      <c r="N95" s="12">
        <v>1</v>
      </c>
      <c r="O95" s="12">
        <v>0</v>
      </c>
      <c r="P95" s="12">
        <v>0</v>
      </c>
      <c r="Q95" s="12">
        <v>1</v>
      </c>
      <c r="R95" s="12">
        <v>0</v>
      </c>
      <c r="S95" s="12">
        <v>1</v>
      </c>
      <c r="T95" s="12">
        <v>0</v>
      </c>
      <c r="U95" s="12">
        <v>0</v>
      </c>
      <c r="V95" s="12">
        <v>0</v>
      </c>
      <c r="W95" s="12">
        <v>1</v>
      </c>
      <c r="X95" s="12">
        <v>0</v>
      </c>
      <c r="Y95" s="12">
        <v>0</v>
      </c>
      <c r="Z95" s="12">
        <v>1</v>
      </c>
      <c r="AA95" s="12">
        <v>1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</row>
    <row r="96" spans="1:33">
      <c r="A96" s="8" t="s">
        <v>227</v>
      </c>
      <c r="B96" s="8" t="s">
        <v>228</v>
      </c>
      <c r="C96" s="9" t="s">
        <v>226</v>
      </c>
      <c r="D96" s="9" t="str">
        <f>VLOOKUP(C96,[1]销售对应表!$C:$J,5,0)</f>
        <v>政府行业组</v>
      </c>
      <c r="E96" s="10" t="s">
        <v>36</v>
      </c>
      <c r="F96" s="11">
        <f t="shared" si="1"/>
        <v>7</v>
      </c>
      <c r="G96" s="12">
        <v>1</v>
      </c>
      <c r="H96" s="12">
        <v>1</v>
      </c>
      <c r="I96" s="12">
        <v>0</v>
      </c>
      <c r="J96" s="12">
        <v>0</v>
      </c>
      <c r="K96" s="12">
        <v>1</v>
      </c>
      <c r="L96" s="12">
        <v>0</v>
      </c>
      <c r="M96" s="12">
        <v>1</v>
      </c>
      <c r="N96" s="12">
        <v>0</v>
      </c>
      <c r="O96" s="12">
        <v>0</v>
      </c>
      <c r="P96" s="12">
        <v>0</v>
      </c>
      <c r="Q96" s="12">
        <v>1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1</v>
      </c>
      <c r="AB96" s="12">
        <v>0</v>
      </c>
      <c r="AC96" s="12">
        <v>0</v>
      </c>
      <c r="AD96" s="12">
        <v>1</v>
      </c>
      <c r="AE96" s="12">
        <v>0</v>
      </c>
      <c r="AF96" s="12">
        <v>0</v>
      </c>
      <c r="AG96" s="12">
        <v>0</v>
      </c>
    </row>
    <row r="97" spans="1:33">
      <c r="A97" s="8" t="s">
        <v>229</v>
      </c>
      <c r="B97" s="8" t="s">
        <v>230</v>
      </c>
      <c r="C97" s="9" t="s">
        <v>226</v>
      </c>
      <c r="D97" s="9" t="str">
        <f>VLOOKUP(C97,[1]销售对应表!$C:$J,5,0)</f>
        <v>政府行业组</v>
      </c>
      <c r="E97" s="10" t="s">
        <v>36</v>
      </c>
      <c r="F97" s="11">
        <f t="shared" si="1"/>
        <v>5</v>
      </c>
      <c r="G97" s="12">
        <v>1</v>
      </c>
      <c r="H97" s="12">
        <v>0</v>
      </c>
      <c r="I97" s="12">
        <v>1</v>
      </c>
      <c r="J97" s="12">
        <v>1</v>
      </c>
      <c r="K97" s="12">
        <v>0</v>
      </c>
      <c r="L97" s="12">
        <v>0</v>
      </c>
      <c r="M97" s="12">
        <v>1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1</v>
      </c>
      <c r="AE97" s="12">
        <v>0</v>
      </c>
      <c r="AF97" s="12">
        <v>0</v>
      </c>
      <c r="AG97" s="12">
        <v>0</v>
      </c>
    </row>
    <row r="98" spans="1:33">
      <c r="A98" s="8" t="s">
        <v>231</v>
      </c>
      <c r="B98" s="8" t="s">
        <v>232</v>
      </c>
      <c r="C98" s="9" t="s">
        <v>226</v>
      </c>
      <c r="D98" s="9" t="str">
        <f>VLOOKUP(C98,[1]销售对应表!$C:$J,5,0)</f>
        <v>政府行业组</v>
      </c>
      <c r="E98" s="10" t="s">
        <v>41</v>
      </c>
      <c r="F98" s="11">
        <f t="shared" si="1"/>
        <v>4</v>
      </c>
      <c r="G98" s="12">
        <v>1</v>
      </c>
      <c r="H98" s="12">
        <v>0</v>
      </c>
      <c r="I98" s="12">
        <v>0</v>
      </c>
      <c r="J98" s="12">
        <v>0</v>
      </c>
      <c r="K98" s="12">
        <v>1</v>
      </c>
      <c r="L98" s="12">
        <v>0</v>
      </c>
      <c r="M98" s="12">
        <v>1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1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</row>
    <row r="99" spans="1:33">
      <c r="A99" s="8" t="s">
        <v>233</v>
      </c>
      <c r="B99" s="8" t="s">
        <v>234</v>
      </c>
      <c r="C99" s="9" t="s">
        <v>226</v>
      </c>
      <c r="D99" s="9" t="str">
        <f>VLOOKUP(C99,[1]销售对应表!$C:$J,5,0)</f>
        <v>政府行业组</v>
      </c>
      <c r="E99" s="10" t="s">
        <v>36</v>
      </c>
      <c r="F99" s="11">
        <f t="shared" si="1"/>
        <v>4</v>
      </c>
      <c r="G99" s="12">
        <v>0</v>
      </c>
      <c r="H99" s="12">
        <v>1</v>
      </c>
      <c r="I99" s="12">
        <v>0</v>
      </c>
      <c r="J99" s="12">
        <v>0</v>
      </c>
      <c r="K99" s="12">
        <v>1</v>
      </c>
      <c r="L99" s="12">
        <v>0</v>
      </c>
      <c r="M99" s="12">
        <v>1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1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</row>
    <row r="100" spans="1:33">
      <c r="A100" s="8" t="s">
        <v>235</v>
      </c>
      <c r="B100" s="8" t="s">
        <v>236</v>
      </c>
      <c r="C100" s="9" t="s">
        <v>226</v>
      </c>
      <c r="D100" s="9" t="str">
        <f>VLOOKUP(C100,[1]销售对应表!$C:$J,5,0)</f>
        <v>政府行业组</v>
      </c>
      <c r="E100" s="10" t="s">
        <v>41</v>
      </c>
      <c r="F100" s="11">
        <f t="shared" si="1"/>
        <v>3</v>
      </c>
      <c r="G100" s="12">
        <v>1</v>
      </c>
      <c r="H100" s="12">
        <v>0</v>
      </c>
      <c r="I100" s="12">
        <v>0</v>
      </c>
      <c r="J100" s="12">
        <v>0</v>
      </c>
      <c r="K100" s="12">
        <v>1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1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</row>
    <row r="101" spans="1:33">
      <c r="A101" s="8" t="s">
        <v>237</v>
      </c>
      <c r="B101" s="8" t="s">
        <v>238</v>
      </c>
      <c r="C101" s="9" t="s">
        <v>226</v>
      </c>
      <c r="D101" s="9" t="str">
        <f>VLOOKUP(C101,[1]销售对应表!$C:$J,5,0)</f>
        <v>政府行业组</v>
      </c>
      <c r="E101" s="10" t="s">
        <v>36</v>
      </c>
      <c r="F101" s="11">
        <f t="shared" si="1"/>
        <v>2</v>
      </c>
      <c r="G101" s="12">
        <v>0</v>
      </c>
      <c r="H101" s="12">
        <v>0</v>
      </c>
      <c r="I101" s="12">
        <v>0</v>
      </c>
      <c r="J101" s="12">
        <v>1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1</v>
      </c>
      <c r="AD101" s="12">
        <v>0</v>
      </c>
      <c r="AE101" s="12">
        <v>0</v>
      </c>
      <c r="AF101" s="12">
        <v>0</v>
      </c>
      <c r="AG101" s="12">
        <v>0</v>
      </c>
    </row>
    <row r="102" spans="1:33">
      <c r="A102" s="8" t="s">
        <v>239</v>
      </c>
      <c r="B102" s="8" t="s">
        <v>240</v>
      </c>
      <c r="C102" s="9" t="s">
        <v>226</v>
      </c>
      <c r="D102" s="9" t="str">
        <f>VLOOKUP(C102,[1]销售对应表!$C:$J,5,0)</f>
        <v>政府行业组</v>
      </c>
      <c r="E102" s="10" t="s">
        <v>41</v>
      </c>
      <c r="F102" s="11">
        <f t="shared" si="1"/>
        <v>1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1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</row>
    <row r="103" spans="1:33">
      <c r="A103" s="8" t="s">
        <v>241</v>
      </c>
      <c r="B103" s="8" t="s">
        <v>242</v>
      </c>
      <c r="C103" s="9" t="s">
        <v>226</v>
      </c>
      <c r="D103" s="9" t="str">
        <f>VLOOKUP(C103,[1]销售对应表!$C:$J,5,0)</f>
        <v>政府行业组</v>
      </c>
      <c r="E103" s="10" t="s">
        <v>41</v>
      </c>
      <c r="F103" s="11">
        <f t="shared" si="1"/>
        <v>2</v>
      </c>
      <c r="G103" s="12">
        <v>1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1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</row>
    <row r="104" spans="1:33">
      <c r="A104" s="8" t="s">
        <v>243</v>
      </c>
      <c r="B104" s="8" t="s">
        <v>244</v>
      </c>
      <c r="C104" s="9" t="s">
        <v>226</v>
      </c>
      <c r="D104" s="9" t="str">
        <f>VLOOKUP(C104,[1]销售对应表!$C:$J,5,0)</f>
        <v>政府行业组</v>
      </c>
      <c r="E104" s="10" t="s">
        <v>41</v>
      </c>
      <c r="F104" s="11">
        <f t="shared" si="1"/>
        <v>2</v>
      </c>
      <c r="G104" s="12">
        <v>0</v>
      </c>
      <c r="H104" s="12">
        <v>0</v>
      </c>
      <c r="I104" s="12">
        <v>0</v>
      </c>
      <c r="J104" s="12">
        <v>1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1</v>
      </c>
      <c r="AE104" s="12">
        <v>0</v>
      </c>
      <c r="AF104" s="12">
        <v>0</v>
      </c>
      <c r="AG104" s="12">
        <v>0</v>
      </c>
    </row>
    <row r="105" spans="1:33">
      <c r="A105" s="8" t="s">
        <v>245</v>
      </c>
      <c r="B105" s="8" t="s">
        <v>246</v>
      </c>
      <c r="C105" s="9" t="s">
        <v>226</v>
      </c>
      <c r="D105" s="9" t="str">
        <f>VLOOKUP(C105,[1]销售对应表!$C:$J,5,0)</f>
        <v>政府行业组</v>
      </c>
      <c r="E105" s="10" t="s">
        <v>41</v>
      </c>
      <c r="F105" s="11">
        <f t="shared" si="1"/>
        <v>1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1</v>
      </c>
      <c r="AG105" s="12">
        <v>0</v>
      </c>
    </row>
    <row r="106" spans="1:33">
      <c r="A106" s="8" t="s">
        <v>247</v>
      </c>
      <c r="B106" s="8" t="s">
        <v>248</v>
      </c>
      <c r="C106" s="9" t="s">
        <v>226</v>
      </c>
      <c r="D106" s="9" t="str">
        <f>VLOOKUP(C106,[1]销售对应表!$C:$J,5,0)</f>
        <v>政府行业组</v>
      </c>
      <c r="E106" s="10" t="s">
        <v>41</v>
      </c>
      <c r="F106" s="11">
        <f t="shared" si="1"/>
        <v>1</v>
      </c>
      <c r="G106" s="12">
        <v>1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</row>
    <row r="107" spans="1:33">
      <c r="A107" s="8" t="s">
        <v>249</v>
      </c>
      <c r="B107" s="8" t="s">
        <v>250</v>
      </c>
      <c r="C107" s="9" t="s">
        <v>226</v>
      </c>
      <c r="D107" s="9" t="str">
        <f>VLOOKUP(C107,[1]销售对应表!$C:$J,5,0)</f>
        <v>政府行业组</v>
      </c>
      <c r="E107" s="10" t="s">
        <v>41</v>
      </c>
      <c r="F107" s="11">
        <f t="shared" si="1"/>
        <v>1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1</v>
      </c>
      <c r="AE107" s="12">
        <v>0</v>
      </c>
      <c r="AF107" s="12">
        <v>0</v>
      </c>
      <c r="AG107" s="12">
        <v>0</v>
      </c>
    </row>
    <row r="108" spans="1:33">
      <c r="A108" s="8" t="s">
        <v>251</v>
      </c>
      <c r="B108" s="8" t="s">
        <v>252</v>
      </c>
      <c r="C108" s="9" t="s">
        <v>226</v>
      </c>
      <c r="D108" s="9" t="str">
        <f>VLOOKUP(C108,[1]销售对应表!$C:$J,5,0)</f>
        <v>政府行业组</v>
      </c>
      <c r="E108" s="10" t="s">
        <v>41</v>
      </c>
      <c r="F108" s="11">
        <f t="shared" si="1"/>
        <v>1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1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</row>
    <row r="109" spans="1:33">
      <c r="A109" s="8" t="s">
        <v>253</v>
      </c>
      <c r="B109" s="8" t="s">
        <v>254</v>
      </c>
      <c r="C109" s="9" t="s">
        <v>226</v>
      </c>
      <c r="D109" s="9" t="str">
        <f>VLOOKUP(C109,[1]销售对应表!$C:$J,5,0)</f>
        <v>政府行业组</v>
      </c>
      <c r="E109" s="10" t="s">
        <v>41</v>
      </c>
      <c r="F109" s="11">
        <f t="shared" si="1"/>
        <v>1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1</v>
      </c>
      <c r="AG109" s="12">
        <v>0</v>
      </c>
    </row>
    <row r="110" spans="1:33">
      <c r="A110" s="8" t="s">
        <v>255</v>
      </c>
      <c r="B110" s="8" t="s">
        <v>256</v>
      </c>
      <c r="C110" s="9" t="s">
        <v>226</v>
      </c>
      <c r="D110" s="9" t="str">
        <f>VLOOKUP(C110,[1]销售对应表!$C:$J,5,0)</f>
        <v>政府行业组</v>
      </c>
      <c r="E110" s="10" t="s">
        <v>41</v>
      </c>
      <c r="F110" s="11">
        <f t="shared" si="1"/>
        <v>1</v>
      </c>
      <c r="G110" s="12">
        <v>0</v>
      </c>
      <c r="H110" s="12">
        <v>0</v>
      </c>
      <c r="I110" s="12">
        <v>0</v>
      </c>
      <c r="J110" s="12">
        <v>0</v>
      </c>
      <c r="K110" s="12">
        <v>1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</row>
    <row r="111" spans="1:33">
      <c r="A111" s="8" t="s">
        <v>257</v>
      </c>
      <c r="B111" s="8" t="s">
        <v>258</v>
      </c>
      <c r="C111" s="9" t="s">
        <v>259</v>
      </c>
      <c r="D111" s="9" t="s">
        <v>260</v>
      </c>
      <c r="E111" s="10" t="s">
        <v>36</v>
      </c>
      <c r="F111" s="11">
        <f t="shared" si="1"/>
        <v>17</v>
      </c>
      <c r="G111" s="12">
        <v>1</v>
      </c>
      <c r="H111" s="12">
        <v>1</v>
      </c>
      <c r="I111" s="12">
        <v>0</v>
      </c>
      <c r="J111" s="12">
        <v>1</v>
      </c>
      <c r="K111" s="12">
        <v>1</v>
      </c>
      <c r="L111" s="12">
        <v>1</v>
      </c>
      <c r="M111" s="12">
        <v>1</v>
      </c>
      <c r="N111" s="12">
        <v>0</v>
      </c>
      <c r="O111" s="12">
        <v>1</v>
      </c>
      <c r="P111" s="12">
        <v>1</v>
      </c>
      <c r="Q111" s="12">
        <v>0</v>
      </c>
      <c r="R111" s="12">
        <v>0</v>
      </c>
      <c r="S111" s="12">
        <v>1</v>
      </c>
      <c r="T111" s="12">
        <v>1</v>
      </c>
      <c r="U111" s="12">
        <v>0</v>
      </c>
      <c r="V111" s="12">
        <v>1</v>
      </c>
      <c r="W111" s="12">
        <v>1</v>
      </c>
      <c r="X111" s="12">
        <v>0</v>
      </c>
      <c r="Y111" s="12">
        <v>0</v>
      </c>
      <c r="Z111" s="12">
        <v>0</v>
      </c>
      <c r="AA111" s="12">
        <v>0</v>
      </c>
      <c r="AB111" s="12">
        <v>1</v>
      </c>
      <c r="AC111" s="12">
        <v>0</v>
      </c>
      <c r="AD111" s="12">
        <v>1</v>
      </c>
      <c r="AE111" s="12">
        <v>1</v>
      </c>
      <c r="AF111" s="12">
        <v>1</v>
      </c>
      <c r="AG111" s="12">
        <v>1</v>
      </c>
    </row>
    <row r="112" spans="1:33">
      <c r="A112" s="8" t="s">
        <v>261</v>
      </c>
      <c r="B112" s="8" t="s">
        <v>262</v>
      </c>
      <c r="C112" s="9" t="s">
        <v>259</v>
      </c>
      <c r="D112" s="9" t="s">
        <v>260</v>
      </c>
      <c r="E112" s="10" t="s">
        <v>36</v>
      </c>
      <c r="F112" s="11">
        <f t="shared" si="1"/>
        <v>14</v>
      </c>
      <c r="G112" s="12">
        <v>1</v>
      </c>
      <c r="H112" s="12">
        <v>1</v>
      </c>
      <c r="I112" s="12">
        <v>0</v>
      </c>
      <c r="J112" s="12">
        <v>0</v>
      </c>
      <c r="K112" s="12">
        <v>1</v>
      </c>
      <c r="L112" s="12">
        <v>1</v>
      </c>
      <c r="M112" s="12">
        <v>1</v>
      </c>
      <c r="N112" s="12">
        <v>0</v>
      </c>
      <c r="O112" s="12">
        <v>1</v>
      </c>
      <c r="P112" s="12">
        <v>1</v>
      </c>
      <c r="Q112" s="12">
        <v>0</v>
      </c>
      <c r="R112" s="12">
        <v>0</v>
      </c>
      <c r="S112" s="12">
        <v>0</v>
      </c>
      <c r="T112" s="12">
        <v>1</v>
      </c>
      <c r="U112" s="12">
        <v>0</v>
      </c>
      <c r="V112" s="12">
        <v>0</v>
      </c>
      <c r="W112" s="12">
        <v>1</v>
      </c>
      <c r="X112" s="12">
        <v>1</v>
      </c>
      <c r="Y112" s="12">
        <v>0</v>
      </c>
      <c r="Z112" s="12">
        <v>0</v>
      </c>
      <c r="AA112" s="12">
        <v>1</v>
      </c>
      <c r="AB112" s="12">
        <v>1</v>
      </c>
      <c r="AC112" s="12">
        <v>0</v>
      </c>
      <c r="AD112" s="12">
        <v>1</v>
      </c>
      <c r="AE112" s="12">
        <v>0</v>
      </c>
      <c r="AF112" s="12">
        <v>1</v>
      </c>
      <c r="AG112" s="12">
        <v>0</v>
      </c>
    </row>
    <row r="113" spans="1:33">
      <c r="A113" s="8" t="s">
        <v>263</v>
      </c>
      <c r="B113" s="8" t="s">
        <v>264</v>
      </c>
      <c r="C113" s="9" t="s">
        <v>259</v>
      </c>
      <c r="D113" s="9" t="s">
        <v>260</v>
      </c>
      <c r="E113" s="10" t="s">
        <v>36</v>
      </c>
      <c r="F113" s="11">
        <f t="shared" si="1"/>
        <v>10</v>
      </c>
      <c r="G113" s="12">
        <v>1</v>
      </c>
      <c r="H113" s="12">
        <v>0</v>
      </c>
      <c r="I113" s="12">
        <v>0</v>
      </c>
      <c r="J113" s="12">
        <v>1</v>
      </c>
      <c r="K113" s="12">
        <v>1</v>
      </c>
      <c r="L113" s="12">
        <v>1</v>
      </c>
      <c r="M113" s="12">
        <v>1</v>
      </c>
      <c r="N113" s="12">
        <v>0</v>
      </c>
      <c r="O113" s="12">
        <v>0</v>
      </c>
      <c r="P113" s="12">
        <v>1</v>
      </c>
      <c r="Q113" s="12">
        <v>0</v>
      </c>
      <c r="R113" s="12">
        <v>0</v>
      </c>
      <c r="S113" s="12">
        <v>0</v>
      </c>
      <c r="T113" s="12">
        <v>1</v>
      </c>
      <c r="U113" s="12">
        <v>0</v>
      </c>
      <c r="V113" s="12">
        <v>0</v>
      </c>
      <c r="W113" s="12">
        <v>0</v>
      </c>
      <c r="X113" s="12">
        <v>1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1</v>
      </c>
      <c r="AE113" s="12">
        <v>0</v>
      </c>
      <c r="AF113" s="12">
        <v>1</v>
      </c>
      <c r="AG113" s="12">
        <v>0</v>
      </c>
    </row>
    <row r="114" spans="1:33">
      <c r="A114" s="8" t="s">
        <v>265</v>
      </c>
      <c r="B114" s="8" t="s">
        <v>266</v>
      </c>
      <c r="C114" s="9" t="s">
        <v>259</v>
      </c>
      <c r="D114" s="9" t="s">
        <v>260</v>
      </c>
      <c r="E114" s="10" t="s">
        <v>36</v>
      </c>
      <c r="F114" s="11">
        <f t="shared" si="1"/>
        <v>10</v>
      </c>
      <c r="G114" s="12">
        <v>0</v>
      </c>
      <c r="H114" s="12">
        <v>1</v>
      </c>
      <c r="I114" s="12">
        <v>0</v>
      </c>
      <c r="J114" s="12">
        <v>1</v>
      </c>
      <c r="K114" s="12">
        <v>0</v>
      </c>
      <c r="L114" s="12">
        <v>1</v>
      </c>
      <c r="M114" s="12">
        <v>0</v>
      </c>
      <c r="N114" s="12">
        <v>1</v>
      </c>
      <c r="O114" s="12">
        <v>1</v>
      </c>
      <c r="P114" s="12">
        <v>1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1</v>
      </c>
      <c r="X114" s="12">
        <v>0</v>
      </c>
      <c r="Y114" s="12">
        <v>0</v>
      </c>
      <c r="Z114" s="12">
        <v>0</v>
      </c>
      <c r="AA114" s="12">
        <v>1</v>
      </c>
      <c r="AB114" s="12">
        <v>0</v>
      </c>
      <c r="AC114" s="12">
        <v>0</v>
      </c>
      <c r="AD114" s="12">
        <v>1</v>
      </c>
      <c r="AE114" s="12">
        <v>0</v>
      </c>
      <c r="AF114" s="12">
        <v>1</v>
      </c>
      <c r="AG114" s="12">
        <v>0</v>
      </c>
    </row>
    <row r="115" spans="1:33">
      <c r="A115" s="8" t="s">
        <v>267</v>
      </c>
      <c r="B115" s="8" t="s">
        <v>268</v>
      </c>
      <c r="C115" s="9" t="s">
        <v>259</v>
      </c>
      <c r="D115" s="9" t="s">
        <v>260</v>
      </c>
      <c r="E115" s="10" t="s">
        <v>36</v>
      </c>
      <c r="F115" s="11">
        <f t="shared" si="1"/>
        <v>9</v>
      </c>
      <c r="G115" s="12">
        <v>1</v>
      </c>
      <c r="H115" s="12">
        <v>0</v>
      </c>
      <c r="I115" s="12">
        <v>0</v>
      </c>
      <c r="J115" s="12">
        <v>1</v>
      </c>
      <c r="K115" s="12">
        <v>0</v>
      </c>
      <c r="L115" s="12">
        <v>0</v>
      </c>
      <c r="M115" s="12">
        <v>1</v>
      </c>
      <c r="N115" s="12">
        <v>0</v>
      </c>
      <c r="O115" s="12">
        <v>1</v>
      </c>
      <c r="P115" s="12">
        <v>1</v>
      </c>
      <c r="Q115" s="12">
        <v>0</v>
      </c>
      <c r="R115" s="12">
        <v>0</v>
      </c>
      <c r="S115" s="12">
        <v>0</v>
      </c>
      <c r="T115" s="12">
        <v>0</v>
      </c>
      <c r="U115" s="12">
        <v>1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1</v>
      </c>
      <c r="AB115" s="12">
        <v>1</v>
      </c>
      <c r="AC115" s="12">
        <v>0</v>
      </c>
      <c r="AD115" s="12">
        <v>0</v>
      </c>
      <c r="AE115" s="12">
        <v>0</v>
      </c>
      <c r="AF115" s="12">
        <v>1</v>
      </c>
      <c r="AG115" s="12">
        <v>0</v>
      </c>
    </row>
    <row r="116" spans="1:33">
      <c r="A116" s="8" t="s">
        <v>269</v>
      </c>
      <c r="B116" s="8" t="s">
        <v>270</v>
      </c>
      <c r="C116" s="9" t="s">
        <v>259</v>
      </c>
      <c r="D116" s="9" t="s">
        <v>260</v>
      </c>
      <c r="E116" s="10" t="s">
        <v>36</v>
      </c>
      <c r="F116" s="11">
        <f t="shared" si="1"/>
        <v>9</v>
      </c>
      <c r="G116" s="12">
        <v>1</v>
      </c>
      <c r="H116" s="12">
        <v>1</v>
      </c>
      <c r="I116" s="12">
        <v>0</v>
      </c>
      <c r="J116" s="12">
        <v>0</v>
      </c>
      <c r="K116" s="12">
        <v>0</v>
      </c>
      <c r="L116" s="12">
        <v>1</v>
      </c>
      <c r="M116" s="12">
        <v>1</v>
      </c>
      <c r="N116" s="12">
        <v>1</v>
      </c>
      <c r="O116" s="12">
        <v>0</v>
      </c>
      <c r="P116" s="12">
        <v>1</v>
      </c>
      <c r="Q116" s="12">
        <v>0</v>
      </c>
      <c r="R116" s="12">
        <v>0</v>
      </c>
      <c r="S116" s="12">
        <v>0</v>
      </c>
      <c r="T116" s="12">
        <v>1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1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1</v>
      </c>
      <c r="AG116" s="12">
        <v>0</v>
      </c>
    </row>
    <row r="117" spans="1:33">
      <c r="A117" s="8" t="s">
        <v>271</v>
      </c>
      <c r="B117" s="8" t="s">
        <v>272</v>
      </c>
      <c r="C117" s="9" t="s">
        <v>259</v>
      </c>
      <c r="D117" s="9" t="s">
        <v>260</v>
      </c>
      <c r="E117" s="10" t="s">
        <v>36</v>
      </c>
      <c r="F117" s="11">
        <f t="shared" si="1"/>
        <v>8</v>
      </c>
      <c r="G117" s="12">
        <v>1</v>
      </c>
      <c r="H117" s="12">
        <v>0</v>
      </c>
      <c r="I117" s="12">
        <v>0</v>
      </c>
      <c r="J117" s="12">
        <v>1</v>
      </c>
      <c r="K117" s="12">
        <v>0</v>
      </c>
      <c r="L117" s="12">
        <v>0</v>
      </c>
      <c r="M117" s="12">
        <v>1</v>
      </c>
      <c r="N117" s="12">
        <v>0</v>
      </c>
      <c r="O117" s="12">
        <v>0</v>
      </c>
      <c r="P117" s="12">
        <v>1</v>
      </c>
      <c r="Q117" s="12">
        <v>0</v>
      </c>
      <c r="R117" s="12">
        <v>0</v>
      </c>
      <c r="S117" s="12">
        <v>0</v>
      </c>
      <c r="T117" s="12">
        <v>1</v>
      </c>
      <c r="U117" s="12">
        <v>0</v>
      </c>
      <c r="V117" s="12">
        <v>0</v>
      </c>
      <c r="W117" s="12">
        <v>1</v>
      </c>
      <c r="X117" s="12">
        <v>0</v>
      </c>
      <c r="Y117" s="12">
        <v>0</v>
      </c>
      <c r="Z117" s="12">
        <v>0</v>
      </c>
      <c r="AA117" s="12">
        <v>0</v>
      </c>
      <c r="AB117" s="12">
        <v>1</v>
      </c>
      <c r="AC117" s="12">
        <v>0</v>
      </c>
      <c r="AD117" s="12">
        <v>0</v>
      </c>
      <c r="AE117" s="12">
        <v>0</v>
      </c>
      <c r="AF117" s="12">
        <v>1</v>
      </c>
      <c r="AG117" s="12">
        <v>0</v>
      </c>
    </row>
    <row r="118" spans="1:33">
      <c r="A118" s="8" t="s">
        <v>273</v>
      </c>
      <c r="B118" s="8" t="s">
        <v>274</v>
      </c>
      <c r="C118" s="9" t="s">
        <v>259</v>
      </c>
      <c r="D118" s="9" t="s">
        <v>260</v>
      </c>
      <c r="E118" s="10" t="s">
        <v>41</v>
      </c>
      <c r="F118" s="11">
        <f t="shared" si="1"/>
        <v>8</v>
      </c>
      <c r="G118" s="12">
        <v>1</v>
      </c>
      <c r="H118" s="12">
        <v>1</v>
      </c>
      <c r="I118" s="12">
        <v>0</v>
      </c>
      <c r="J118" s="12">
        <v>1</v>
      </c>
      <c r="K118" s="12">
        <v>1</v>
      </c>
      <c r="L118" s="12">
        <v>0</v>
      </c>
      <c r="M118" s="12">
        <v>1</v>
      </c>
      <c r="N118" s="12">
        <v>0</v>
      </c>
      <c r="O118" s="12">
        <v>0</v>
      </c>
      <c r="P118" s="12">
        <v>1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1</v>
      </c>
      <c r="AA118" s="12">
        <v>1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</row>
    <row r="119" spans="1:33">
      <c r="A119" s="8" t="s">
        <v>275</v>
      </c>
      <c r="B119" s="8" t="s">
        <v>276</v>
      </c>
      <c r="C119" s="9" t="s">
        <v>259</v>
      </c>
      <c r="D119" s="9" t="s">
        <v>260</v>
      </c>
      <c r="E119" s="10" t="s">
        <v>36</v>
      </c>
      <c r="F119" s="11">
        <f t="shared" si="1"/>
        <v>6</v>
      </c>
      <c r="G119" s="12">
        <v>1</v>
      </c>
      <c r="H119" s="12">
        <v>1</v>
      </c>
      <c r="I119" s="12">
        <v>0</v>
      </c>
      <c r="J119" s="12">
        <v>0</v>
      </c>
      <c r="K119" s="12">
        <v>1</v>
      </c>
      <c r="L119" s="12">
        <v>0</v>
      </c>
      <c r="M119" s="12">
        <v>1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1</v>
      </c>
      <c r="AC119" s="12">
        <v>0</v>
      </c>
      <c r="AD119" s="12">
        <v>1</v>
      </c>
      <c r="AE119" s="12">
        <v>0</v>
      </c>
      <c r="AF119" s="12">
        <v>0</v>
      </c>
      <c r="AG119" s="12">
        <v>0</v>
      </c>
    </row>
    <row r="120" spans="1:33">
      <c r="A120" s="8" t="s">
        <v>277</v>
      </c>
      <c r="B120" s="8" t="s">
        <v>278</v>
      </c>
      <c r="C120" s="9" t="s">
        <v>259</v>
      </c>
      <c r="D120" s="9" t="s">
        <v>260</v>
      </c>
      <c r="E120" s="10" t="s">
        <v>36</v>
      </c>
      <c r="F120" s="11">
        <f t="shared" si="1"/>
        <v>5</v>
      </c>
      <c r="G120" s="12">
        <v>1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1</v>
      </c>
      <c r="N120" s="12">
        <v>1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1</v>
      </c>
      <c r="AA120" s="12">
        <v>1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</row>
    <row r="121" spans="1:33">
      <c r="A121" s="8" t="s">
        <v>279</v>
      </c>
      <c r="B121" s="8" t="s">
        <v>280</v>
      </c>
      <c r="C121" s="9" t="s">
        <v>259</v>
      </c>
      <c r="D121" s="9" t="s">
        <v>260</v>
      </c>
      <c r="E121" s="10" t="s">
        <v>36</v>
      </c>
      <c r="F121" s="11">
        <f t="shared" si="1"/>
        <v>4</v>
      </c>
      <c r="G121" s="12">
        <v>1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1</v>
      </c>
      <c r="N121" s="12">
        <v>0</v>
      </c>
      <c r="O121" s="12">
        <v>0</v>
      </c>
      <c r="P121" s="12">
        <v>1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1</v>
      </c>
      <c r="AE121" s="12">
        <v>0</v>
      </c>
      <c r="AF121" s="12">
        <v>0</v>
      </c>
      <c r="AG121" s="12">
        <v>0</v>
      </c>
    </row>
    <row r="122" spans="1:33">
      <c r="A122" s="8" t="s">
        <v>281</v>
      </c>
      <c r="B122" s="8" t="s">
        <v>282</v>
      </c>
      <c r="C122" s="9" t="s">
        <v>259</v>
      </c>
      <c r="D122" s="9" t="s">
        <v>260</v>
      </c>
      <c r="E122" s="10" t="s">
        <v>41</v>
      </c>
      <c r="F122" s="11">
        <f t="shared" si="1"/>
        <v>5</v>
      </c>
      <c r="G122" s="12">
        <v>1</v>
      </c>
      <c r="H122" s="12">
        <v>1</v>
      </c>
      <c r="I122" s="12">
        <v>0</v>
      </c>
      <c r="J122" s="12">
        <v>0</v>
      </c>
      <c r="K122" s="12">
        <v>0</v>
      </c>
      <c r="L122" s="12">
        <v>0</v>
      </c>
      <c r="M122" s="12">
        <v>1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1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1</v>
      </c>
      <c r="AE122" s="12">
        <v>0</v>
      </c>
      <c r="AF122" s="12">
        <v>0</v>
      </c>
      <c r="AG122" s="12">
        <v>0</v>
      </c>
    </row>
    <row r="123" spans="1:33">
      <c r="A123" s="8" t="s">
        <v>283</v>
      </c>
      <c r="B123" s="8" t="s">
        <v>284</v>
      </c>
      <c r="C123" s="9" t="s">
        <v>259</v>
      </c>
      <c r="D123" s="9" t="s">
        <v>260</v>
      </c>
      <c r="E123" s="10" t="s">
        <v>36</v>
      </c>
      <c r="F123" s="11">
        <f t="shared" si="1"/>
        <v>5</v>
      </c>
      <c r="G123" s="12">
        <v>1</v>
      </c>
      <c r="H123" s="12">
        <v>0</v>
      </c>
      <c r="I123" s="12">
        <v>0</v>
      </c>
      <c r="J123" s="12">
        <v>1</v>
      </c>
      <c r="K123" s="12">
        <v>0</v>
      </c>
      <c r="L123" s="12">
        <v>0</v>
      </c>
      <c r="M123" s="12">
        <v>0</v>
      </c>
      <c r="N123" s="12">
        <v>0</v>
      </c>
      <c r="O123" s="12">
        <v>1</v>
      </c>
      <c r="P123" s="12">
        <v>0</v>
      </c>
      <c r="Q123" s="12">
        <v>0</v>
      </c>
      <c r="R123" s="12">
        <v>0</v>
      </c>
      <c r="S123" s="12">
        <v>0</v>
      </c>
      <c r="T123" s="12">
        <v>1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1</v>
      </c>
      <c r="AE123" s="12">
        <v>0</v>
      </c>
      <c r="AF123" s="12">
        <v>0</v>
      </c>
      <c r="AG123" s="12">
        <v>0</v>
      </c>
    </row>
    <row r="124" spans="1:33">
      <c r="A124" s="8" t="s">
        <v>285</v>
      </c>
      <c r="B124" s="8" t="s">
        <v>286</v>
      </c>
      <c r="C124" s="9" t="s">
        <v>259</v>
      </c>
      <c r="D124" s="9" t="s">
        <v>260</v>
      </c>
      <c r="E124" s="10" t="s">
        <v>36</v>
      </c>
      <c r="F124" s="11">
        <f t="shared" si="1"/>
        <v>3</v>
      </c>
      <c r="G124" s="12">
        <v>1</v>
      </c>
      <c r="H124" s="12">
        <v>1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1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</row>
    <row r="125" spans="1:33">
      <c r="A125" s="8" t="s">
        <v>287</v>
      </c>
      <c r="B125" s="8" t="s">
        <v>288</v>
      </c>
      <c r="C125" s="9" t="s">
        <v>259</v>
      </c>
      <c r="D125" s="9" t="s">
        <v>260</v>
      </c>
      <c r="E125" s="10" t="s">
        <v>41</v>
      </c>
      <c r="F125" s="11">
        <f t="shared" si="1"/>
        <v>2</v>
      </c>
      <c r="G125" s="12">
        <v>1</v>
      </c>
      <c r="H125" s="12">
        <v>1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</v>
      </c>
    </row>
    <row r="126" spans="1:33">
      <c r="A126" s="8" t="s">
        <v>289</v>
      </c>
      <c r="B126" s="8" t="s">
        <v>290</v>
      </c>
      <c r="C126" s="9" t="s">
        <v>259</v>
      </c>
      <c r="D126" s="9" t="s">
        <v>260</v>
      </c>
      <c r="E126" s="10" t="s">
        <v>41</v>
      </c>
      <c r="F126" s="11">
        <f t="shared" si="1"/>
        <v>1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1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</row>
    <row r="127" spans="1:33">
      <c r="A127" s="8" t="s">
        <v>291</v>
      </c>
      <c r="B127" s="8" t="s">
        <v>292</v>
      </c>
      <c r="C127" s="9" t="s">
        <v>259</v>
      </c>
      <c r="D127" s="9" t="s">
        <v>260</v>
      </c>
      <c r="E127" s="10" t="s">
        <v>36</v>
      </c>
      <c r="F127" s="11">
        <f t="shared" si="1"/>
        <v>1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1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0</v>
      </c>
    </row>
    <row r="128" spans="1:33">
      <c r="A128" s="8" t="s">
        <v>293</v>
      </c>
      <c r="B128" s="8" t="s">
        <v>294</v>
      </c>
      <c r="C128" s="9" t="s">
        <v>259</v>
      </c>
      <c r="D128" s="9" t="s">
        <v>260</v>
      </c>
      <c r="E128" s="10" t="s">
        <v>41</v>
      </c>
      <c r="F128" s="11">
        <f t="shared" si="1"/>
        <v>1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1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</row>
    <row r="129" spans="1:33">
      <c r="A129" s="8" t="s">
        <v>295</v>
      </c>
      <c r="B129" s="8" t="s">
        <v>296</v>
      </c>
      <c r="C129" s="9" t="s">
        <v>259</v>
      </c>
      <c r="D129" s="9" t="s">
        <v>260</v>
      </c>
      <c r="E129" s="10" t="s">
        <v>41</v>
      </c>
      <c r="F129" s="11">
        <f t="shared" si="1"/>
        <v>1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1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</row>
    <row r="130" spans="1:33">
      <c r="A130" s="8" t="s">
        <v>297</v>
      </c>
      <c r="B130" s="8" t="s">
        <v>298</v>
      </c>
      <c r="C130" s="9" t="s">
        <v>259</v>
      </c>
      <c r="D130" s="9" t="s">
        <v>260</v>
      </c>
      <c r="E130" s="10" t="s">
        <v>41</v>
      </c>
      <c r="F130" s="11">
        <f t="shared" ref="F130:F193" si="2">SUM(G130:AG130)</f>
        <v>1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1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</row>
    <row r="131" spans="1:33">
      <c r="A131" s="8" t="s">
        <v>299</v>
      </c>
      <c r="B131" s="8" t="s">
        <v>300</v>
      </c>
      <c r="C131" s="9" t="s">
        <v>259</v>
      </c>
      <c r="D131" s="9" t="s">
        <v>260</v>
      </c>
      <c r="E131" s="10" t="s">
        <v>41</v>
      </c>
      <c r="F131" s="11">
        <f t="shared" si="2"/>
        <v>1</v>
      </c>
      <c r="G131" s="12">
        <v>0</v>
      </c>
      <c r="H131" s="12">
        <v>1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</row>
    <row r="132" spans="1:33">
      <c r="A132" s="8" t="s">
        <v>301</v>
      </c>
      <c r="B132" s="8" t="s">
        <v>302</v>
      </c>
      <c r="C132" s="9" t="s">
        <v>259</v>
      </c>
      <c r="D132" s="9" t="s">
        <v>260</v>
      </c>
      <c r="E132" s="10" t="s">
        <v>41</v>
      </c>
      <c r="F132" s="11">
        <f t="shared" si="2"/>
        <v>1</v>
      </c>
      <c r="G132" s="12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</row>
    <row r="133" spans="1:33">
      <c r="A133" s="8" t="s">
        <v>303</v>
      </c>
      <c r="B133" s="8" t="s">
        <v>304</v>
      </c>
      <c r="C133" s="9" t="s">
        <v>305</v>
      </c>
      <c r="D133" s="9" t="s">
        <v>260</v>
      </c>
      <c r="E133" s="10" t="s">
        <v>36</v>
      </c>
      <c r="F133" s="11">
        <f t="shared" si="2"/>
        <v>10</v>
      </c>
      <c r="G133" s="12">
        <v>1</v>
      </c>
      <c r="H133" s="12">
        <v>1</v>
      </c>
      <c r="I133" s="12">
        <v>0</v>
      </c>
      <c r="J133" s="12">
        <v>1</v>
      </c>
      <c r="K133" s="12">
        <v>1</v>
      </c>
      <c r="L133" s="12">
        <v>1</v>
      </c>
      <c r="M133" s="12">
        <v>0</v>
      </c>
      <c r="N133" s="12">
        <v>1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1</v>
      </c>
      <c r="U133" s="12">
        <v>0</v>
      </c>
      <c r="V133" s="12">
        <v>0</v>
      </c>
      <c r="W133" s="12">
        <v>0</v>
      </c>
      <c r="X133" s="12">
        <v>1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1</v>
      </c>
      <c r="AF133" s="12">
        <v>0</v>
      </c>
      <c r="AG133" s="12">
        <v>1</v>
      </c>
    </row>
    <row r="134" spans="1:33">
      <c r="A134" s="8" t="s">
        <v>306</v>
      </c>
      <c r="B134" s="8" t="s">
        <v>307</v>
      </c>
      <c r="C134" s="9" t="s">
        <v>305</v>
      </c>
      <c r="D134" s="9" t="s">
        <v>260</v>
      </c>
      <c r="E134" s="10" t="s">
        <v>36</v>
      </c>
      <c r="F134" s="11">
        <f t="shared" si="2"/>
        <v>11</v>
      </c>
      <c r="G134" s="12">
        <v>1</v>
      </c>
      <c r="H134" s="12">
        <v>1</v>
      </c>
      <c r="I134" s="12">
        <v>0</v>
      </c>
      <c r="J134" s="12">
        <v>1</v>
      </c>
      <c r="K134" s="12">
        <v>1</v>
      </c>
      <c r="L134" s="12">
        <v>0</v>
      </c>
      <c r="M134" s="12">
        <v>1</v>
      </c>
      <c r="N134" s="12">
        <v>1</v>
      </c>
      <c r="O134" s="12">
        <v>0</v>
      </c>
      <c r="P134" s="12">
        <v>1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1</v>
      </c>
      <c r="Y134" s="12">
        <v>0</v>
      </c>
      <c r="Z134" s="12">
        <v>1</v>
      </c>
      <c r="AA134" s="12">
        <v>0</v>
      </c>
      <c r="AB134" s="12">
        <v>1</v>
      </c>
      <c r="AC134" s="12">
        <v>1</v>
      </c>
      <c r="AD134" s="12">
        <v>0</v>
      </c>
      <c r="AE134" s="12">
        <v>0</v>
      </c>
      <c r="AF134" s="12">
        <v>0</v>
      </c>
      <c r="AG134" s="12">
        <v>0</v>
      </c>
    </row>
    <row r="135" spans="1:33">
      <c r="A135" s="8" t="s">
        <v>308</v>
      </c>
      <c r="B135" s="8" t="s">
        <v>309</v>
      </c>
      <c r="C135" s="9" t="s">
        <v>305</v>
      </c>
      <c r="D135" s="9" t="s">
        <v>260</v>
      </c>
      <c r="E135" s="10" t="s">
        <v>36</v>
      </c>
      <c r="F135" s="11">
        <f t="shared" si="2"/>
        <v>9</v>
      </c>
      <c r="G135" s="12">
        <v>1</v>
      </c>
      <c r="H135" s="12">
        <v>0</v>
      </c>
      <c r="I135" s="12">
        <v>0</v>
      </c>
      <c r="J135" s="12">
        <v>1</v>
      </c>
      <c r="K135" s="12">
        <v>0</v>
      </c>
      <c r="L135" s="12">
        <v>0</v>
      </c>
      <c r="M135" s="12">
        <v>1</v>
      </c>
      <c r="N135" s="12">
        <v>1</v>
      </c>
      <c r="O135" s="12">
        <v>0</v>
      </c>
      <c r="P135" s="12">
        <v>1</v>
      </c>
      <c r="Q135" s="12">
        <v>0</v>
      </c>
      <c r="R135" s="12">
        <v>0</v>
      </c>
      <c r="S135" s="12">
        <v>0</v>
      </c>
      <c r="T135" s="12">
        <v>1</v>
      </c>
      <c r="U135" s="12">
        <v>0</v>
      </c>
      <c r="V135" s="12">
        <v>0</v>
      </c>
      <c r="W135" s="12">
        <v>1</v>
      </c>
      <c r="X135" s="12">
        <v>0</v>
      </c>
      <c r="Y135" s="12">
        <v>0</v>
      </c>
      <c r="Z135" s="12">
        <v>0</v>
      </c>
      <c r="AA135" s="12">
        <v>0</v>
      </c>
      <c r="AB135" s="12">
        <v>1</v>
      </c>
      <c r="AC135" s="12">
        <v>0</v>
      </c>
      <c r="AD135" s="12">
        <v>1</v>
      </c>
      <c r="AE135" s="12">
        <v>0</v>
      </c>
      <c r="AF135" s="12">
        <v>0</v>
      </c>
      <c r="AG135" s="12">
        <v>0</v>
      </c>
    </row>
    <row r="136" spans="1:33">
      <c r="A136" s="8" t="s">
        <v>310</v>
      </c>
      <c r="B136" s="8" t="s">
        <v>311</v>
      </c>
      <c r="C136" s="9" t="s">
        <v>305</v>
      </c>
      <c r="D136" s="9" t="s">
        <v>260</v>
      </c>
      <c r="E136" s="10" t="s">
        <v>36</v>
      </c>
      <c r="F136" s="11">
        <f t="shared" si="2"/>
        <v>8</v>
      </c>
      <c r="G136" s="12">
        <v>1</v>
      </c>
      <c r="H136" s="12">
        <v>1</v>
      </c>
      <c r="I136" s="12">
        <v>0</v>
      </c>
      <c r="J136" s="12">
        <v>0</v>
      </c>
      <c r="K136" s="12">
        <v>0</v>
      </c>
      <c r="L136" s="12">
        <v>1</v>
      </c>
      <c r="M136" s="12">
        <v>1</v>
      </c>
      <c r="N136" s="12">
        <v>0</v>
      </c>
      <c r="O136" s="12">
        <v>0</v>
      </c>
      <c r="P136" s="12">
        <v>1</v>
      </c>
      <c r="Q136" s="12">
        <v>0</v>
      </c>
      <c r="R136" s="12">
        <v>0</v>
      </c>
      <c r="S136" s="12">
        <v>0</v>
      </c>
      <c r="T136" s="12">
        <v>1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1</v>
      </c>
      <c r="AA136" s="12">
        <v>0</v>
      </c>
      <c r="AB136" s="12">
        <v>0</v>
      </c>
      <c r="AC136" s="12">
        <v>0</v>
      </c>
      <c r="AD136" s="12">
        <v>1</v>
      </c>
      <c r="AE136" s="12">
        <v>0</v>
      </c>
      <c r="AF136" s="12">
        <v>0</v>
      </c>
      <c r="AG136" s="12">
        <v>0</v>
      </c>
    </row>
    <row r="137" spans="1:33">
      <c r="A137" s="8" t="s">
        <v>312</v>
      </c>
      <c r="B137" s="8" t="s">
        <v>313</v>
      </c>
      <c r="C137" s="9" t="s">
        <v>305</v>
      </c>
      <c r="D137" s="9" t="s">
        <v>260</v>
      </c>
      <c r="E137" s="10" t="s">
        <v>36</v>
      </c>
      <c r="F137" s="11">
        <f t="shared" si="2"/>
        <v>8</v>
      </c>
      <c r="G137" s="12">
        <v>1</v>
      </c>
      <c r="H137" s="12">
        <v>0</v>
      </c>
      <c r="I137" s="12">
        <v>0</v>
      </c>
      <c r="J137" s="12">
        <v>0</v>
      </c>
      <c r="K137" s="12">
        <v>1</v>
      </c>
      <c r="L137" s="12">
        <v>0</v>
      </c>
      <c r="M137" s="12">
        <v>1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1</v>
      </c>
      <c r="X137" s="12">
        <v>0</v>
      </c>
      <c r="Y137" s="12">
        <v>0</v>
      </c>
      <c r="Z137" s="12">
        <v>0</v>
      </c>
      <c r="AA137" s="12">
        <v>0</v>
      </c>
      <c r="AB137" s="12">
        <v>1</v>
      </c>
      <c r="AC137" s="12">
        <v>1</v>
      </c>
      <c r="AD137" s="12">
        <v>1</v>
      </c>
      <c r="AE137" s="12">
        <v>0</v>
      </c>
      <c r="AF137" s="12">
        <v>0</v>
      </c>
      <c r="AG137" s="12">
        <v>1</v>
      </c>
    </row>
    <row r="138" spans="1:33">
      <c r="A138" s="8" t="s">
        <v>314</v>
      </c>
      <c r="B138" s="8" t="s">
        <v>315</v>
      </c>
      <c r="C138" s="9" t="s">
        <v>305</v>
      </c>
      <c r="D138" s="9" t="s">
        <v>260</v>
      </c>
      <c r="E138" s="10" t="s">
        <v>36</v>
      </c>
      <c r="F138" s="11">
        <f t="shared" si="2"/>
        <v>6</v>
      </c>
      <c r="G138" s="12">
        <v>1</v>
      </c>
      <c r="H138" s="12">
        <v>0</v>
      </c>
      <c r="I138" s="12">
        <v>0</v>
      </c>
      <c r="J138" s="12">
        <v>0</v>
      </c>
      <c r="K138" s="12">
        <v>1</v>
      </c>
      <c r="L138" s="12">
        <v>0</v>
      </c>
      <c r="M138" s="12">
        <v>1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1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1</v>
      </c>
      <c r="AC138" s="12">
        <v>0</v>
      </c>
      <c r="AD138" s="12">
        <v>0</v>
      </c>
      <c r="AE138" s="12">
        <v>0</v>
      </c>
      <c r="AF138" s="12">
        <v>0</v>
      </c>
      <c r="AG138" s="12">
        <v>1</v>
      </c>
    </row>
    <row r="139" spans="1:33">
      <c r="A139" s="8" t="s">
        <v>316</v>
      </c>
      <c r="B139" s="8" t="s">
        <v>317</v>
      </c>
      <c r="C139" s="9" t="s">
        <v>305</v>
      </c>
      <c r="D139" s="9" t="s">
        <v>260</v>
      </c>
      <c r="E139" s="10" t="s">
        <v>36</v>
      </c>
      <c r="F139" s="11">
        <f t="shared" si="2"/>
        <v>7</v>
      </c>
      <c r="G139" s="12">
        <v>1</v>
      </c>
      <c r="H139" s="12">
        <v>0</v>
      </c>
      <c r="I139" s="12">
        <v>0</v>
      </c>
      <c r="J139" s="12">
        <v>1</v>
      </c>
      <c r="K139" s="12">
        <v>1</v>
      </c>
      <c r="L139" s="12">
        <v>0</v>
      </c>
      <c r="M139" s="12">
        <v>0</v>
      </c>
      <c r="N139" s="12">
        <v>0</v>
      </c>
      <c r="O139" s="12">
        <v>0</v>
      </c>
      <c r="P139" s="12">
        <v>1</v>
      </c>
      <c r="Q139" s="12">
        <v>0</v>
      </c>
      <c r="R139" s="12">
        <v>0</v>
      </c>
      <c r="S139" s="12">
        <v>0</v>
      </c>
      <c r="T139" s="12">
        <v>0</v>
      </c>
      <c r="U139" s="12">
        <v>1</v>
      </c>
      <c r="V139" s="12">
        <v>0</v>
      </c>
      <c r="W139" s="12">
        <v>1</v>
      </c>
      <c r="X139" s="12">
        <v>0</v>
      </c>
      <c r="Y139" s="12">
        <v>0</v>
      </c>
      <c r="Z139" s="12">
        <v>0</v>
      </c>
      <c r="AA139" s="12">
        <v>1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</row>
    <row r="140" spans="1:33">
      <c r="A140" s="8" t="s">
        <v>318</v>
      </c>
      <c r="B140" s="8" t="s">
        <v>319</v>
      </c>
      <c r="C140" s="9" t="s">
        <v>305</v>
      </c>
      <c r="D140" s="9" t="s">
        <v>260</v>
      </c>
      <c r="E140" s="10" t="s">
        <v>36</v>
      </c>
      <c r="F140" s="11">
        <f t="shared" si="2"/>
        <v>6</v>
      </c>
      <c r="G140" s="12">
        <v>1</v>
      </c>
      <c r="H140" s="12">
        <v>1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1</v>
      </c>
      <c r="P140" s="12">
        <v>1</v>
      </c>
      <c r="Q140" s="12">
        <v>0</v>
      </c>
      <c r="R140" s="12">
        <v>0</v>
      </c>
      <c r="S140" s="12">
        <v>0</v>
      </c>
      <c r="T140" s="12">
        <v>1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1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</row>
    <row r="141" spans="1:33">
      <c r="A141" s="8" t="s">
        <v>320</v>
      </c>
      <c r="B141" s="8" t="s">
        <v>321</v>
      </c>
      <c r="C141" s="9" t="s">
        <v>305</v>
      </c>
      <c r="D141" s="9" t="s">
        <v>260</v>
      </c>
      <c r="E141" s="10" t="s">
        <v>36</v>
      </c>
      <c r="F141" s="11">
        <f t="shared" si="2"/>
        <v>5</v>
      </c>
      <c r="G141" s="12">
        <v>1</v>
      </c>
      <c r="H141" s="12">
        <v>1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1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1</v>
      </c>
      <c r="AC141" s="12">
        <v>0</v>
      </c>
      <c r="AD141" s="12">
        <v>1</v>
      </c>
      <c r="AE141" s="12">
        <v>0</v>
      </c>
      <c r="AF141" s="12">
        <v>0</v>
      </c>
      <c r="AG141" s="12">
        <v>0</v>
      </c>
    </row>
    <row r="142" spans="1:33">
      <c r="A142" s="8" t="s">
        <v>322</v>
      </c>
      <c r="B142" s="8" t="s">
        <v>323</v>
      </c>
      <c r="C142" s="9" t="s">
        <v>305</v>
      </c>
      <c r="D142" s="9" t="s">
        <v>260</v>
      </c>
      <c r="E142" s="10" t="s">
        <v>41</v>
      </c>
      <c r="F142" s="11">
        <f t="shared" si="2"/>
        <v>4</v>
      </c>
      <c r="G142" s="12">
        <v>1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1</v>
      </c>
      <c r="T142" s="12">
        <v>1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1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</row>
    <row r="143" spans="1:33">
      <c r="A143" s="8" t="s">
        <v>324</v>
      </c>
      <c r="B143" s="8" t="s">
        <v>325</v>
      </c>
      <c r="C143" s="9" t="s">
        <v>305</v>
      </c>
      <c r="D143" s="9" t="s">
        <v>260</v>
      </c>
      <c r="E143" s="10" t="s">
        <v>36</v>
      </c>
      <c r="F143" s="11">
        <f t="shared" si="2"/>
        <v>3</v>
      </c>
      <c r="G143" s="12">
        <v>1</v>
      </c>
      <c r="H143" s="12">
        <v>0</v>
      </c>
      <c r="I143" s="12">
        <v>0</v>
      </c>
      <c r="J143" s="12">
        <v>0</v>
      </c>
      <c r="K143" s="12">
        <v>1</v>
      </c>
      <c r="L143" s="12">
        <v>0</v>
      </c>
      <c r="M143" s="12">
        <v>0</v>
      </c>
      <c r="N143" s="12">
        <v>1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</row>
    <row r="144" spans="1:33">
      <c r="A144" s="8" t="s">
        <v>326</v>
      </c>
      <c r="B144" s="8" t="s">
        <v>327</v>
      </c>
      <c r="C144" s="9" t="s">
        <v>305</v>
      </c>
      <c r="D144" s="9" t="s">
        <v>260</v>
      </c>
      <c r="E144" s="10" t="s">
        <v>41</v>
      </c>
      <c r="F144" s="11">
        <f t="shared" si="2"/>
        <v>2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1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1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</row>
    <row r="145" spans="1:33">
      <c r="A145" s="8" t="s">
        <v>328</v>
      </c>
      <c r="B145" s="8" t="s">
        <v>329</v>
      </c>
      <c r="C145" s="9" t="s">
        <v>305</v>
      </c>
      <c r="D145" s="9" t="s">
        <v>260</v>
      </c>
      <c r="E145" s="10" t="s">
        <v>41</v>
      </c>
      <c r="F145" s="11">
        <f t="shared" si="2"/>
        <v>1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1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</row>
    <row r="146" spans="1:33">
      <c r="A146" s="8" t="s">
        <v>330</v>
      </c>
      <c r="B146" s="8" t="s">
        <v>331</v>
      </c>
      <c r="C146" s="9" t="s">
        <v>305</v>
      </c>
      <c r="D146" s="9" t="s">
        <v>260</v>
      </c>
      <c r="E146" s="10" t="s">
        <v>41</v>
      </c>
      <c r="F146" s="11">
        <f t="shared" si="2"/>
        <v>1</v>
      </c>
      <c r="G146" s="12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</row>
    <row r="147" spans="1:33">
      <c r="A147" s="8" t="s">
        <v>332</v>
      </c>
      <c r="B147" s="8" t="s">
        <v>333</v>
      </c>
      <c r="C147" s="9" t="s">
        <v>305</v>
      </c>
      <c r="D147" s="9" t="s">
        <v>260</v>
      </c>
      <c r="E147" s="10" t="s">
        <v>41</v>
      </c>
      <c r="F147" s="11">
        <f t="shared" si="2"/>
        <v>1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1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</row>
    <row r="148" spans="1:33">
      <c r="A148" s="8" t="s">
        <v>334</v>
      </c>
      <c r="B148" s="8" t="s">
        <v>335</v>
      </c>
      <c r="C148" s="9" t="s">
        <v>305</v>
      </c>
      <c r="D148" s="9" t="s">
        <v>260</v>
      </c>
      <c r="E148" s="10" t="s">
        <v>41</v>
      </c>
      <c r="F148" s="11">
        <f t="shared" si="2"/>
        <v>1</v>
      </c>
      <c r="G148" s="12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</row>
    <row r="149" spans="1:33">
      <c r="A149" s="8" t="s">
        <v>336</v>
      </c>
      <c r="B149" s="8" t="s">
        <v>337</v>
      </c>
      <c r="C149" s="9" t="s">
        <v>338</v>
      </c>
      <c r="D149" s="9" t="s">
        <v>260</v>
      </c>
      <c r="E149" s="10" t="s">
        <v>36</v>
      </c>
      <c r="F149" s="11">
        <f t="shared" si="2"/>
        <v>17</v>
      </c>
      <c r="G149" s="12">
        <v>1</v>
      </c>
      <c r="H149" s="12">
        <v>1</v>
      </c>
      <c r="I149" s="12">
        <v>1</v>
      </c>
      <c r="J149" s="12">
        <v>1</v>
      </c>
      <c r="K149" s="12">
        <v>1</v>
      </c>
      <c r="L149" s="12">
        <v>0</v>
      </c>
      <c r="M149" s="12">
        <v>1</v>
      </c>
      <c r="N149" s="12">
        <v>0</v>
      </c>
      <c r="O149" s="12">
        <v>1</v>
      </c>
      <c r="P149" s="12">
        <v>1</v>
      </c>
      <c r="Q149" s="12">
        <v>0</v>
      </c>
      <c r="R149" s="12">
        <v>0</v>
      </c>
      <c r="S149" s="12">
        <v>1</v>
      </c>
      <c r="T149" s="12">
        <v>1</v>
      </c>
      <c r="U149" s="12">
        <v>1</v>
      </c>
      <c r="V149" s="12">
        <v>0</v>
      </c>
      <c r="W149" s="12">
        <v>1</v>
      </c>
      <c r="X149" s="12">
        <v>0</v>
      </c>
      <c r="Y149" s="12">
        <v>0</v>
      </c>
      <c r="Z149" s="12">
        <v>0</v>
      </c>
      <c r="AA149" s="12">
        <v>1</v>
      </c>
      <c r="AB149" s="12">
        <v>1</v>
      </c>
      <c r="AC149" s="12">
        <v>0</v>
      </c>
      <c r="AD149" s="12">
        <v>1</v>
      </c>
      <c r="AE149" s="12">
        <v>0</v>
      </c>
      <c r="AF149" s="12">
        <v>1</v>
      </c>
      <c r="AG149" s="12">
        <v>1</v>
      </c>
    </row>
    <row r="150" spans="1:33">
      <c r="A150" s="8" t="s">
        <v>339</v>
      </c>
      <c r="B150" s="8" t="s">
        <v>340</v>
      </c>
      <c r="C150" s="9" t="s">
        <v>338</v>
      </c>
      <c r="D150" s="9" t="s">
        <v>260</v>
      </c>
      <c r="E150" s="10" t="s">
        <v>36</v>
      </c>
      <c r="F150" s="11">
        <f t="shared" si="2"/>
        <v>15</v>
      </c>
      <c r="G150" s="12">
        <v>1</v>
      </c>
      <c r="H150" s="12">
        <v>1</v>
      </c>
      <c r="I150" s="12">
        <v>0</v>
      </c>
      <c r="J150" s="12">
        <v>1</v>
      </c>
      <c r="K150" s="12">
        <v>1</v>
      </c>
      <c r="L150" s="12">
        <v>0</v>
      </c>
      <c r="M150" s="12">
        <v>1</v>
      </c>
      <c r="N150" s="12">
        <v>1</v>
      </c>
      <c r="O150" s="12">
        <v>0</v>
      </c>
      <c r="P150" s="12">
        <v>1</v>
      </c>
      <c r="Q150" s="12">
        <v>0</v>
      </c>
      <c r="R150" s="12">
        <v>0</v>
      </c>
      <c r="S150" s="12">
        <v>0</v>
      </c>
      <c r="T150" s="12">
        <v>1</v>
      </c>
      <c r="U150" s="12">
        <v>0</v>
      </c>
      <c r="V150" s="12">
        <v>0</v>
      </c>
      <c r="W150" s="12">
        <v>0</v>
      </c>
      <c r="X150" s="12">
        <v>1</v>
      </c>
      <c r="Y150" s="12">
        <v>0</v>
      </c>
      <c r="Z150" s="12">
        <v>1</v>
      </c>
      <c r="AA150" s="12">
        <v>1</v>
      </c>
      <c r="AB150" s="12">
        <v>1</v>
      </c>
      <c r="AC150" s="12">
        <v>1</v>
      </c>
      <c r="AD150" s="12">
        <v>1</v>
      </c>
      <c r="AE150" s="12">
        <v>1</v>
      </c>
      <c r="AF150" s="12">
        <v>0</v>
      </c>
      <c r="AG150" s="12">
        <v>0</v>
      </c>
    </row>
    <row r="151" spans="1:33">
      <c r="A151" s="8" t="s">
        <v>341</v>
      </c>
      <c r="B151" s="8" t="s">
        <v>342</v>
      </c>
      <c r="C151" s="9" t="s">
        <v>338</v>
      </c>
      <c r="D151" s="9" t="s">
        <v>260</v>
      </c>
      <c r="E151" s="10" t="s">
        <v>36</v>
      </c>
      <c r="F151" s="11">
        <f t="shared" si="2"/>
        <v>13</v>
      </c>
      <c r="G151" s="12">
        <v>1</v>
      </c>
      <c r="H151" s="12">
        <v>1</v>
      </c>
      <c r="I151" s="12">
        <v>0</v>
      </c>
      <c r="J151" s="12">
        <v>1</v>
      </c>
      <c r="K151" s="12">
        <v>1</v>
      </c>
      <c r="L151" s="12">
        <v>0</v>
      </c>
      <c r="M151" s="12">
        <v>1</v>
      </c>
      <c r="N151" s="12">
        <v>0</v>
      </c>
      <c r="O151" s="12">
        <v>1</v>
      </c>
      <c r="P151" s="12">
        <v>1</v>
      </c>
      <c r="Q151" s="12">
        <v>0</v>
      </c>
      <c r="R151" s="12">
        <v>0</v>
      </c>
      <c r="S151" s="12">
        <v>0</v>
      </c>
      <c r="T151" s="12">
        <v>1</v>
      </c>
      <c r="U151" s="12">
        <v>0</v>
      </c>
      <c r="V151" s="12">
        <v>0</v>
      </c>
      <c r="W151" s="12">
        <v>0</v>
      </c>
      <c r="X151" s="12">
        <v>1</v>
      </c>
      <c r="Y151" s="12">
        <v>0</v>
      </c>
      <c r="Z151" s="12">
        <v>0</v>
      </c>
      <c r="AA151" s="12">
        <v>1</v>
      </c>
      <c r="AB151" s="12">
        <v>1</v>
      </c>
      <c r="AC151" s="12">
        <v>0</v>
      </c>
      <c r="AD151" s="12">
        <v>1</v>
      </c>
      <c r="AE151" s="12">
        <v>0</v>
      </c>
      <c r="AF151" s="12">
        <v>0</v>
      </c>
      <c r="AG151" s="12">
        <v>1</v>
      </c>
    </row>
    <row r="152" spans="1:33">
      <c r="A152" s="8" t="s">
        <v>343</v>
      </c>
      <c r="B152" s="8" t="s">
        <v>344</v>
      </c>
      <c r="C152" s="9" t="s">
        <v>338</v>
      </c>
      <c r="D152" s="9" t="s">
        <v>260</v>
      </c>
      <c r="E152" s="10" t="s">
        <v>36</v>
      </c>
      <c r="F152" s="11">
        <f t="shared" si="2"/>
        <v>12</v>
      </c>
      <c r="G152" s="12">
        <v>1</v>
      </c>
      <c r="H152" s="12">
        <v>1</v>
      </c>
      <c r="I152" s="12">
        <v>0</v>
      </c>
      <c r="J152" s="12">
        <v>1</v>
      </c>
      <c r="K152" s="12">
        <v>1</v>
      </c>
      <c r="L152" s="12">
        <v>0</v>
      </c>
      <c r="M152" s="12">
        <v>1</v>
      </c>
      <c r="N152" s="12">
        <v>1</v>
      </c>
      <c r="O152" s="12">
        <v>0</v>
      </c>
      <c r="P152" s="12">
        <v>1</v>
      </c>
      <c r="Q152" s="12">
        <v>0</v>
      </c>
      <c r="R152" s="12">
        <v>0</v>
      </c>
      <c r="S152" s="12">
        <v>0</v>
      </c>
      <c r="T152" s="12">
        <v>1</v>
      </c>
      <c r="U152" s="12">
        <v>0</v>
      </c>
      <c r="V152" s="12">
        <v>0</v>
      </c>
      <c r="W152" s="12">
        <v>1</v>
      </c>
      <c r="X152" s="12">
        <v>1</v>
      </c>
      <c r="Y152" s="12">
        <v>0</v>
      </c>
      <c r="Z152" s="12">
        <v>0</v>
      </c>
      <c r="AA152" s="12">
        <v>0</v>
      </c>
      <c r="AB152" s="12">
        <v>1</v>
      </c>
      <c r="AC152" s="12">
        <v>0</v>
      </c>
      <c r="AD152" s="12">
        <v>1</v>
      </c>
      <c r="AE152" s="12">
        <v>0</v>
      </c>
      <c r="AF152" s="12">
        <v>0</v>
      </c>
      <c r="AG152" s="12">
        <v>0</v>
      </c>
    </row>
    <row r="153" spans="1:33">
      <c r="A153" s="8" t="s">
        <v>345</v>
      </c>
      <c r="B153" s="8" t="s">
        <v>346</v>
      </c>
      <c r="C153" s="9" t="s">
        <v>338</v>
      </c>
      <c r="D153" s="9" t="s">
        <v>260</v>
      </c>
      <c r="E153" s="10" t="s">
        <v>36</v>
      </c>
      <c r="F153" s="11">
        <f t="shared" si="2"/>
        <v>12</v>
      </c>
      <c r="G153" s="12">
        <v>1</v>
      </c>
      <c r="H153" s="12">
        <v>1</v>
      </c>
      <c r="I153" s="12">
        <v>0</v>
      </c>
      <c r="J153" s="12">
        <v>1</v>
      </c>
      <c r="K153" s="12">
        <v>1</v>
      </c>
      <c r="L153" s="12">
        <v>1</v>
      </c>
      <c r="M153" s="12">
        <v>1</v>
      </c>
      <c r="N153" s="12">
        <v>1</v>
      </c>
      <c r="O153" s="12">
        <v>0</v>
      </c>
      <c r="P153" s="12">
        <v>1</v>
      </c>
      <c r="Q153" s="12">
        <v>0</v>
      </c>
      <c r="R153" s="12">
        <v>0</v>
      </c>
      <c r="S153" s="12">
        <v>0</v>
      </c>
      <c r="T153" s="12">
        <v>1</v>
      </c>
      <c r="U153" s="12">
        <v>1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1</v>
      </c>
      <c r="AC153" s="12">
        <v>0</v>
      </c>
      <c r="AD153" s="12">
        <v>0</v>
      </c>
      <c r="AE153" s="12">
        <v>0</v>
      </c>
      <c r="AF153" s="12">
        <v>0</v>
      </c>
      <c r="AG153" s="12">
        <v>1</v>
      </c>
    </row>
    <row r="154" spans="1:33">
      <c r="A154" s="8" t="s">
        <v>347</v>
      </c>
      <c r="B154" s="8" t="s">
        <v>348</v>
      </c>
      <c r="C154" s="9" t="s">
        <v>338</v>
      </c>
      <c r="D154" s="9" t="s">
        <v>260</v>
      </c>
      <c r="E154" s="10" t="s">
        <v>36</v>
      </c>
      <c r="F154" s="11">
        <f t="shared" si="2"/>
        <v>6</v>
      </c>
      <c r="G154" s="12">
        <v>1</v>
      </c>
      <c r="H154" s="12">
        <v>0</v>
      </c>
      <c r="I154" s="12">
        <v>0</v>
      </c>
      <c r="J154" s="12">
        <v>1</v>
      </c>
      <c r="K154" s="12">
        <v>1</v>
      </c>
      <c r="L154" s="12">
        <v>0</v>
      </c>
      <c r="M154" s="12">
        <v>1</v>
      </c>
      <c r="N154" s="12">
        <v>0</v>
      </c>
      <c r="O154" s="12">
        <v>1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1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</row>
    <row r="155" spans="1:33">
      <c r="A155" s="8" t="s">
        <v>349</v>
      </c>
      <c r="B155" s="8" t="s">
        <v>350</v>
      </c>
      <c r="C155" s="9" t="s">
        <v>338</v>
      </c>
      <c r="D155" s="9" t="s">
        <v>260</v>
      </c>
      <c r="E155" s="10" t="s">
        <v>36</v>
      </c>
      <c r="F155" s="11">
        <f t="shared" si="2"/>
        <v>5</v>
      </c>
      <c r="G155" s="12">
        <v>1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1</v>
      </c>
      <c r="N155" s="12">
        <v>1</v>
      </c>
      <c r="O155" s="12">
        <v>0</v>
      </c>
      <c r="P155" s="12">
        <v>1</v>
      </c>
      <c r="Q155" s="12">
        <v>0</v>
      </c>
      <c r="R155" s="12">
        <v>0</v>
      </c>
      <c r="S155" s="12">
        <v>0</v>
      </c>
      <c r="T155" s="12">
        <v>1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</row>
    <row r="156" spans="1:33">
      <c r="A156" s="8" t="s">
        <v>351</v>
      </c>
      <c r="B156" s="8" t="s">
        <v>352</v>
      </c>
      <c r="C156" s="9" t="s">
        <v>338</v>
      </c>
      <c r="D156" s="9" t="s">
        <v>260</v>
      </c>
      <c r="E156" s="10" t="s">
        <v>36</v>
      </c>
      <c r="F156" s="11">
        <f t="shared" si="2"/>
        <v>5</v>
      </c>
      <c r="G156" s="12">
        <v>1</v>
      </c>
      <c r="H156" s="12">
        <v>1</v>
      </c>
      <c r="I156" s="12">
        <v>0</v>
      </c>
      <c r="J156" s="12">
        <v>0</v>
      </c>
      <c r="K156" s="12">
        <v>0</v>
      </c>
      <c r="L156" s="12">
        <v>0</v>
      </c>
      <c r="M156" s="12">
        <v>1</v>
      </c>
      <c r="N156" s="12">
        <v>1</v>
      </c>
      <c r="O156" s="12">
        <v>0</v>
      </c>
      <c r="P156" s="12">
        <v>1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</row>
    <row r="157" spans="1:33">
      <c r="A157" s="8" t="s">
        <v>353</v>
      </c>
      <c r="B157" s="8" t="s">
        <v>354</v>
      </c>
      <c r="C157" s="9" t="s">
        <v>338</v>
      </c>
      <c r="D157" s="9" t="s">
        <v>260</v>
      </c>
      <c r="E157" s="10" t="s">
        <v>41</v>
      </c>
      <c r="F157" s="11">
        <f t="shared" si="2"/>
        <v>3</v>
      </c>
      <c r="G157" s="12">
        <v>1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1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1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</row>
    <row r="158" spans="1:33">
      <c r="A158" s="8" t="s">
        <v>355</v>
      </c>
      <c r="B158" s="8" t="s">
        <v>356</v>
      </c>
      <c r="C158" s="9" t="s">
        <v>338</v>
      </c>
      <c r="D158" s="9" t="s">
        <v>260</v>
      </c>
      <c r="E158" s="10" t="s">
        <v>41</v>
      </c>
      <c r="F158" s="11">
        <f t="shared" si="2"/>
        <v>3</v>
      </c>
      <c r="G158" s="12">
        <v>0</v>
      </c>
      <c r="H158" s="12">
        <v>0</v>
      </c>
      <c r="I158" s="12">
        <v>0</v>
      </c>
      <c r="J158" s="12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1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1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</row>
    <row r="159" spans="1:33">
      <c r="A159" s="8" t="s">
        <v>357</v>
      </c>
      <c r="B159" s="8" t="s">
        <v>358</v>
      </c>
      <c r="C159" s="9" t="s">
        <v>338</v>
      </c>
      <c r="D159" s="9" t="s">
        <v>260</v>
      </c>
      <c r="E159" s="10" t="s">
        <v>41</v>
      </c>
      <c r="F159" s="11">
        <f t="shared" si="2"/>
        <v>3</v>
      </c>
      <c r="G159" s="12">
        <v>0</v>
      </c>
      <c r="H159" s="12">
        <v>1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1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1</v>
      </c>
      <c r="AE159" s="12">
        <v>0</v>
      </c>
      <c r="AF159" s="12">
        <v>0</v>
      </c>
      <c r="AG159" s="12">
        <v>0</v>
      </c>
    </row>
    <row r="160" spans="1:33">
      <c r="A160" s="8" t="s">
        <v>359</v>
      </c>
      <c r="B160" s="8" t="s">
        <v>360</v>
      </c>
      <c r="C160" s="9" t="s">
        <v>338</v>
      </c>
      <c r="D160" s="9" t="s">
        <v>260</v>
      </c>
      <c r="E160" s="10" t="s">
        <v>41</v>
      </c>
      <c r="F160" s="11">
        <f t="shared" si="2"/>
        <v>2</v>
      </c>
      <c r="G160" s="12">
        <v>0</v>
      </c>
      <c r="H160" s="12">
        <v>0</v>
      </c>
      <c r="I160" s="12">
        <v>0</v>
      </c>
      <c r="J160" s="12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1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</row>
    <row r="161" spans="1:33">
      <c r="A161" s="8" t="s">
        <v>361</v>
      </c>
      <c r="B161" s="8" t="s">
        <v>362</v>
      </c>
      <c r="C161" s="9" t="s">
        <v>338</v>
      </c>
      <c r="D161" s="9" t="s">
        <v>260</v>
      </c>
      <c r="E161" s="10" t="s">
        <v>36</v>
      </c>
      <c r="F161" s="11">
        <f t="shared" si="2"/>
        <v>2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1</v>
      </c>
      <c r="O161" s="12">
        <v>1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2">
        <v>0</v>
      </c>
      <c r="AE161" s="12">
        <v>0</v>
      </c>
      <c r="AF161" s="12">
        <v>0</v>
      </c>
      <c r="AG161" s="12">
        <v>0</v>
      </c>
    </row>
    <row r="162" spans="1:33">
      <c r="A162" s="8" t="s">
        <v>363</v>
      </c>
      <c r="B162" s="8" t="s">
        <v>364</v>
      </c>
      <c r="C162" s="9" t="s">
        <v>338</v>
      </c>
      <c r="D162" s="9" t="s">
        <v>260</v>
      </c>
      <c r="E162" s="10" t="s">
        <v>41</v>
      </c>
      <c r="F162" s="11">
        <f t="shared" si="2"/>
        <v>2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1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1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</row>
    <row r="163" spans="1:33">
      <c r="A163" s="8" t="s">
        <v>365</v>
      </c>
      <c r="B163" s="8" t="s">
        <v>366</v>
      </c>
      <c r="C163" s="9" t="s">
        <v>338</v>
      </c>
      <c r="D163" s="9" t="s">
        <v>260</v>
      </c>
      <c r="E163" s="10" t="s">
        <v>41</v>
      </c>
      <c r="F163" s="11">
        <f t="shared" si="2"/>
        <v>2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1</v>
      </c>
      <c r="Q163" s="12">
        <v>0</v>
      </c>
      <c r="R163" s="12">
        <v>0</v>
      </c>
      <c r="S163" s="12">
        <v>0</v>
      </c>
      <c r="T163" s="12">
        <v>1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</row>
    <row r="164" spans="1:33">
      <c r="A164" s="8" t="s">
        <v>367</v>
      </c>
      <c r="B164" s="8" t="s">
        <v>368</v>
      </c>
      <c r="C164" s="9" t="s">
        <v>338</v>
      </c>
      <c r="D164" s="9" t="s">
        <v>260</v>
      </c>
      <c r="E164" s="10" t="s">
        <v>41</v>
      </c>
      <c r="F164" s="11">
        <f t="shared" si="2"/>
        <v>2</v>
      </c>
      <c r="G164" s="12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1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</row>
    <row r="165" spans="1:33">
      <c r="A165" s="8" t="s">
        <v>369</v>
      </c>
      <c r="B165" s="8" t="s">
        <v>370</v>
      </c>
      <c r="C165" s="9" t="s">
        <v>338</v>
      </c>
      <c r="D165" s="9" t="s">
        <v>260</v>
      </c>
      <c r="E165" s="10" t="s">
        <v>41</v>
      </c>
      <c r="F165" s="11">
        <f t="shared" si="2"/>
        <v>1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1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</row>
    <row r="166" spans="1:33">
      <c r="A166" s="8" t="s">
        <v>371</v>
      </c>
      <c r="B166" s="8" t="s">
        <v>372</v>
      </c>
      <c r="C166" s="9" t="s">
        <v>338</v>
      </c>
      <c r="D166" s="9" t="s">
        <v>260</v>
      </c>
      <c r="E166" s="10" t="s">
        <v>41</v>
      </c>
      <c r="F166" s="11">
        <f t="shared" si="2"/>
        <v>1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1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</row>
    <row r="167" spans="1:33">
      <c r="A167" s="8" t="s">
        <v>373</v>
      </c>
      <c r="B167" s="8" t="s">
        <v>374</v>
      </c>
      <c r="C167" s="9" t="s">
        <v>338</v>
      </c>
      <c r="D167" s="9" t="s">
        <v>260</v>
      </c>
      <c r="E167" s="10" t="s">
        <v>41</v>
      </c>
      <c r="F167" s="11">
        <f t="shared" si="2"/>
        <v>1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1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</row>
    <row r="168" spans="1:33">
      <c r="A168" s="8" t="s">
        <v>375</v>
      </c>
      <c r="B168" s="8" t="s">
        <v>376</v>
      </c>
      <c r="C168" s="9" t="s">
        <v>338</v>
      </c>
      <c r="D168" s="9" t="s">
        <v>260</v>
      </c>
      <c r="E168" s="10" t="s">
        <v>41</v>
      </c>
      <c r="F168" s="11">
        <f t="shared" si="2"/>
        <v>1</v>
      </c>
      <c r="G168" s="12">
        <v>0</v>
      </c>
      <c r="H168" s="12">
        <v>0</v>
      </c>
      <c r="I168" s="12">
        <v>1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</row>
    <row r="169" spans="1:33">
      <c r="A169" s="8" t="s">
        <v>377</v>
      </c>
      <c r="B169" s="8" t="s">
        <v>378</v>
      </c>
      <c r="C169" s="9" t="s">
        <v>338</v>
      </c>
      <c r="D169" s="9" t="s">
        <v>260</v>
      </c>
      <c r="E169" s="10" t="s">
        <v>41</v>
      </c>
      <c r="F169" s="11">
        <f t="shared" si="2"/>
        <v>1</v>
      </c>
      <c r="G169" s="12">
        <v>1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</row>
    <row r="170" spans="1:33">
      <c r="A170" s="8" t="s">
        <v>379</v>
      </c>
      <c r="B170" s="8" t="s">
        <v>380</v>
      </c>
      <c r="C170" s="9" t="s">
        <v>338</v>
      </c>
      <c r="D170" s="9" t="s">
        <v>260</v>
      </c>
      <c r="E170" s="10" t="s">
        <v>41</v>
      </c>
      <c r="F170" s="11">
        <f t="shared" si="2"/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</row>
    <row r="171" spans="1:33">
      <c r="A171" s="8" t="s">
        <v>381</v>
      </c>
      <c r="B171" s="8" t="s">
        <v>382</v>
      </c>
      <c r="C171" s="9" t="s">
        <v>338</v>
      </c>
      <c r="D171" s="9" t="s">
        <v>260</v>
      </c>
      <c r="E171" s="10" t="s">
        <v>41</v>
      </c>
      <c r="F171" s="11">
        <f t="shared" si="2"/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</row>
    <row r="172" spans="1:33">
      <c r="A172" s="8" t="s">
        <v>383</v>
      </c>
      <c r="B172" s="8" t="s">
        <v>384</v>
      </c>
      <c r="C172" s="9" t="s">
        <v>385</v>
      </c>
      <c r="D172" s="13" t="s">
        <v>386</v>
      </c>
      <c r="E172" s="10" t="s">
        <v>36</v>
      </c>
      <c r="F172" s="11">
        <f t="shared" si="2"/>
        <v>15</v>
      </c>
      <c r="G172" s="12">
        <v>1</v>
      </c>
      <c r="H172" s="12">
        <v>1</v>
      </c>
      <c r="I172" s="12">
        <v>0</v>
      </c>
      <c r="J172" s="12">
        <v>1</v>
      </c>
      <c r="K172" s="12">
        <v>1</v>
      </c>
      <c r="L172" s="12">
        <v>1</v>
      </c>
      <c r="M172" s="12">
        <v>1</v>
      </c>
      <c r="N172" s="12">
        <v>0</v>
      </c>
      <c r="O172" s="12">
        <v>1</v>
      </c>
      <c r="P172" s="12">
        <v>1</v>
      </c>
      <c r="Q172" s="12">
        <v>0</v>
      </c>
      <c r="R172" s="12">
        <v>0</v>
      </c>
      <c r="S172" s="12">
        <v>0</v>
      </c>
      <c r="T172" s="12">
        <v>1</v>
      </c>
      <c r="U172" s="12">
        <v>1</v>
      </c>
      <c r="V172" s="12">
        <v>0</v>
      </c>
      <c r="W172" s="12">
        <v>1</v>
      </c>
      <c r="X172" s="12">
        <v>1</v>
      </c>
      <c r="Y172" s="12">
        <v>0</v>
      </c>
      <c r="Z172" s="12">
        <v>1</v>
      </c>
      <c r="AA172" s="12">
        <v>1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1</v>
      </c>
    </row>
    <row r="173" spans="1:33">
      <c r="A173" s="8" t="s">
        <v>387</v>
      </c>
      <c r="B173" s="8" t="s">
        <v>388</v>
      </c>
      <c r="C173" s="9" t="s">
        <v>385</v>
      </c>
      <c r="D173" s="13" t="s">
        <v>386</v>
      </c>
      <c r="E173" s="10" t="s">
        <v>36</v>
      </c>
      <c r="F173" s="11">
        <f t="shared" si="2"/>
        <v>10</v>
      </c>
      <c r="G173" s="12">
        <v>1</v>
      </c>
      <c r="H173" s="12">
        <v>0</v>
      </c>
      <c r="I173" s="12">
        <v>0</v>
      </c>
      <c r="J173" s="12">
        <v>1</v>
      </c>
      <c r="K173" s="12">
        <v>0</v>
      </c>
      <c r="L173" s="12">
        <v>0</v>
      </c>
      <c r="M173" s="12">
        <v>0</v>
      </c>
      <c r="N173" s="12">
        <v>1</v>
      </c>
      <c r="O173" s="12">
        <v>0</v>
      </c>
      <c r="P173" s="12">
        <v>0</v>
      </c>
      <c r="Q173" s="12">
        <v>1</v>
      </c>
      <c r="R173" s="12">
        <v>0</v>
      </c>
      <c r="S173" s="12">
        <v>0</v>
      </c>
      <c r="T173" s="12">
        <v>1</v>
      </c>
      <c r="U173" s="12">
        <v>1</v>
      </c>
      <c r="V173" s="12">
        <v>0</v>
      </c>
      <c r="W173" s="12">
        <v>1</v>
      </c>
      <c r="X173" s="12">
        <v>1</v>
      </c>
      <c r="Y173" s="12">
        <v>0</v>
      </c>
      <c r="Z173" s="12">
        <v>0</v>
      </c>
      <c r="AA173" s="12">
        <v>1</v>
      </c>
      <c r="AB173" s="12">
        <v>1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</row>
    <row r="174" spans="1:33">
      <c r="A174" s="8" t="s">
        <v>389</v>
      </c>
      <c r="B174" s="8" t="s">
        <v>390</v>
      </c>
      <c r="C174" s="9" t="s">
        <v>385</v>
      </c>
      <c r="D174" s="13" t="s">
        <v>386</v>
      </c>
      <c r="E174" s="10" t="s">
        <v>36</v>
      </c>
      <c r="F174" s="11">
        <f t="shared" si="2"/>
        <v>9</v>
      </c>
      <c r="G174" s="12">
        <v>1</v>
      </c>
      <c r="H174" s="12">
        <v>1</v>
      </c>
      <c r="I174" s="12">
        <v>0</v>
      </c>
      <c r="J174" s="12">
        <v>1</v>
      </c>
      <c r="K174" s="12">
        <v>0</v>
      </c>
      <c r="L174" s="12">
        <v>1</v>
      </c>
      <c r="M174" s="12">
        <v>1</v>
      </c>
      <c r="N174" s="12">
        <v>1</v>
      </c>
      <c r="O174" s="12">
        <v>0</v>
      </c>
      <c r="P174" s="12">
        <v>1</v>
      </c>
      <c r="Q174" s="12">
        <v>0</v>
      </c>
      <c r="R174" s="12">
        <v>0</v>
      </c>
      <c r="S174" s="12">
        <v>0</v>
      </c>
      <c r="T174" s="12">
        <v>1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1</v>
      </c>
    </row>
    <row r="175" spans="1:33">
      <c r="A175" s="8" t="s">
        <v>391</v>
      </c>
      <c r="B175" s="8" t="s">
        <v>392</v>
      </c>
      <c r="C175" s="9" t="s">
        <v>385</v>
      </c>
      <c r="D175" s="13" t="s">
        <v>386</v>
      </c>
      <c r="E175" s="10" t="s">
        <v>36</v>
      </c>
      <c r="F175" s="11">
        <f t="shared" si="2"/>
        <v>7</v>
      </c>
      <c r="G175" s="12">
        <v>1</v>
      </c>
      <c r="H175" s="12">
        <v>1</v>
      </c>
      <c r="I175" s="12">
        <v>0</v>
      </c>
      <c r="J175" s="12">
        <v>0</v>
      </c>
      <c r="K175" s="12">
        <v>1</v>
      </c>
      <c r="L175" s="12">
        <v>0</v>
      </c>
      <c r="M175" s="12">
        <v>1</v>
      </c>
      <c r="N175" s="12">
        <v>0</v>
      </c>
      <c r="O175" s="12">
        <v>1</v>
      </c>
      <c r="P175" s="12">
        <v>1</v>
      </c>
      <c r="Q175" s="12">
        <v>0</v>
      </c>
      <c r="R175" s="12">
        <v>0</v>
      </c>
      <c r="S175" s="12">
        <v>0</v>
      </c>
      <c r="T175" s="12">
        <v>1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</row>
    <row r="176" spans="1:33">
      <c r="A176" s="8" t="s">
        <v>393</v>
      </c>
      <c r="B176" s="8" t="s">
        <v>394</v>
      </c>
      <c r="C176" s="9" t="s">
        <v>385</v>
      </c>
      <c r="D176" s="13" t="s">
        <v>386</v>
      </c>
      <c r="E176" s="10" t="s">
        <v>36</v>
      </c>
      <c r="F176" s="11">
        <f t="shared" si="2"/>
        <v>7</v>
      </c>
      <c r="G176" s="12">
        <v>0</v>
      </c>
      <c r="H176" s="12">
        <v>1</v>
      </c>
      <c r="I176" s="12">
        <v>0</v>
      </c>
      <c r="J176" s="12">
        <v>1</v>
      </c>
      <c r="K176" s="12">
        <v>0</v>
      </c>
      <c r="L176" s="12">
        <v>0</v>
      </c>
      <c r="M176" s="12">
        <v>0</v>
      </c>
      <c r="N176" s="12">
        <v>1</v>
      </c>
      <c r="O176" s="12">
        <v>0</v>
      </c>
      <c r="P176" s="12">
        <v>1</v>
      </c>
      <c r="Q176" s="12">
        <v>0</v>
      </c>
      <c r="R176" s="12">
        <v>0</v>
      </c>
      <c r="S176" s="12">
        <v>0</v>
      </c>
      <c r="T176" s="12">
        <v>0</v>
      </c>
      <c r="U176" s="12">
        <v>1</v>
      </c>
      <c r="V176" s="12">
        <v>0</v>
      </c>
      <c r="W176" s="12">
        <v>0</v>
      </c>
      <c r="X176" s="12">
        <v>1</v>
      </c>
      <c r="Y176" s="12">
        <v>0</v>
      </c>
      <c r="Z176" s="12">
        <v>0</v>
      </c>
      <c r="AA176" s="12">
        <v>1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</row>
    <row r="177" spans="1:33">
      <c r="A177" s="8" t="s">
        <v>395</v>
      </c>
      <c r="B177" s="8" t="s">
        <v>396</v>
      </c>
      <c r="C177" s="9" t="s">
        <v>385</v>
      </c>
      <c r="D177" s="13" t="s">
        <v>386</v>
      </c>
      <c r="E177" s="10" t="s">
        <v>41</v>
      </c>
      <c r="F177" s="11">
        <f t="shared" si="2"/>
        <v>7</v>
      </c>
      <c r="G177" s="12">
        <v>1</v>
      </c>
      <c r="H177" s="12">
        <v>1</v>
      </c>
      <c r="I177" s="12">
        <v>0</v>
      </c>
      <c r="J177" s="12">
        <v>0</v>
      </c>
      <c r="K177" s="12">
        <v>0</v>
      </c>
      <c r="L177" s="12">
        <v>0</v>
      </c>
      <c r="M177" s="12">
        <v>1</v>
      </c>
      <c r="N177" s="12">
        <v>0</v>
      </c>
      <c r="O177" s="12">
        <v>1</v>
      </c>
      <c r="P177" s="12">
        <v>0</v>
      </c>
      <c r="Q177" s="12">
        <v>0</v>
      </c>
      <c r="R177" s="12">
        <v>0</v>
      </c>
      <c r="S177" s="12">
        <v>0</v>
      </c>
      <c r="T177" s="12">
        <v>1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1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1</v>
      </c>
    </row>
    <row r="178" spans="1:33">
      <c r="A178" s="8" t="s">
        <v>397</v>
      </c>
      <c r="B178" s="8" t="s">
        <v>398</v>
      </c>
      <c r="C178" s="9" t="s">
        <v>385</v>
      </c>
      <c r="D178" s="13" t="s">
        <v>386</v>
      </c>
      <c r="E178" s="10" t="s">
        <v>36</v>
      </c>
      <c r="F178" s="11">
        <f t="shared" si="2"/>
        <v>8</v>
      </c>
      <c r="G178" s="12">
        <v>1</v>
      </c>
      <c r="H178" s="12">
        <v>0</v>
      </c>
      <c r="I178" s="12">
        <v>0</v>
      </c>
      <c r="J178" s="12">
        <v>1</v>
      </c>
      <c r="K178" s="12">
        <v>1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1</v>
      </c>
      <c r="AB178" s="12">
        <v>1</v>
      </c>
      <c r="AC178" s="12">
        <v>1</v>
      </c>
      <c r="AD178" s="12">
        <v>1</v>
      </c>
      <c r="AE178" s="12">
        <v>0</v>
      </c>
      <c r="AF178" s="12">
        <v>0</v>
      </c>
      <c r="AG178" s="12">
        <v>1</v>
      </c>
    </row>
    <row r="179" spans="1:33">
      <c r="A179" s="8" t="s">
        <v>399</v>
      </c>
      <c r="B179" s="8" t="s">
        <v>400</v>
      </c>
      <c r="C179" s="9" t="s">
        <v>385</v>
      </c>
      <c r="D179" s="13" t="s">
        <v>386</v>
      </c>
      <c r="E179" s="10" t="s">
        <v>36</v>
      </c>
      <c r="F179" s="11">
        <f t="shared" si="2"/>
        <v>5</v>
      </c>
      <c r="G179" s="12">
        <v>1</v>
      </c>
      <c r="H179" s="12">
        <v>0</v>
      </c>
      <c r="I179" s="12">
        <v>0</v>
      </c>
      <c r="J179" s="12">
        <v>0</v>
      </c>
      <c r="K179" s="12">
        <v>1</v>
      </c>
      <c r="L179" s="12">
        <v>0</v>
      </c>
      <c r="M179" s="12">
        <v>0</v>
      </c>
      <c r="N179" s="12">
        <v>0</v>
      </c>
      <c r="O179" s="12">
        <v>1</v>
      </c>
      <c r="P179" s="12">
        <v>0</v>
      </c>
      <c r="Q179" s="12">
        <v>0</v>
      </c>
      <c r="R179" s="12">
        <v>0</v>
      </c>
      <c r="S179" s="12">
        <v>0</v>
      </c>
      <c r="T179" s="12">
        <v>1</v>
      </c>
      <c r="U179" s="12">
        <v>0</v>
      </c>
      <c r="V179" s="12">
        <v>1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</row>
    <row r="180" spans="1:33">
      <c r="A180" s="8" t="s">
        <v>401</v>
      </c>
      <c r="B180" s="8" t="s">
        <v>402</v>
      </c>
      <c r="C180" s="9" t="s">
        <v>385</v>
      </c>
      <c r="D180" s="13" t="s">
        <v>386</v>
      </c>
      <c r="E180" s="10" t="s">
        <v>41</v>
      </c>
      <c r="F180" s="11">
        <f t="shared" si="2"/>
        <v>5</v>
      </c>
      <c r="G180" s="12">
        <v>1</v>
      </c>
      <c r="H180" s="12">
        <v>1</v>
      </c>
      <c r="I180" s="12">
        <v>0</v>
      </c>
      <c r="J180" s="12">
        <v>1</v>
      </c>
      <c r="K180" s="12">
        <v>0</v>
      </c>
      <c r="L180" s="12">
        <v>0</v>
      </c>
      <c r="M180" s="12">
        <v>1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1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</row>
    <row r="181" spans="1:33">
      <c r="A181" s="8" t="s">
        <v>403</v>
      </c>
      <c r="B181" s="8" t="s">
        <v>404</v>
      </c>
      <c r="C181" s="9" t="s">
        <v>385</v>
      </c>
      <c r="D181" s="13" t="s">
        <v>386</v>
      </c>
      <c r="E181" s="10" t="s">
        <v>36</v>
      </c>
      <c r="F181" s="11">
        <f t="shared" si="2"/>
        <v>3</v>
      </c>
      <c r="G181" s="12">
        <v>1</v>
      </c>
      <c r="H181" s="12">
        <v>1</v>
      </c>
      <c r="I181" s="12">
        <v>0</v>
      </c>
      <c r="J181" s="12">
        <v>0</v>
      </c>
      <c r="K181" s="12">
        <v>0</v>
      </c>
      <c r="L181" s="12">
        <v>0</v>
      </c>
      <c r="M181" s="12">
        <v>1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</row>
    <row r="182" spans="1:33">
      <c r="A182" s="8" t="s">
        <v>405</v>
      </c>
      <c r="B182" s="8" t="s">
        <v>406</v>
      </c>
      <c r="C182" s="9" t="s">
        <v>385</v>
      </c>
      <c r="D182" s="13" t="s">
        <v>386</v>
      </c>
      <c r="E182" s="10" t="s">
        <v>36</v>
      </c>
      <c r="F182" s="11">
        <f t="shared" si="2"/>
        <v>4</v>
      </c>
      <c r="G182" s="12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1</v>
      </c>
      <c r="U182" s="12">
        <v>0</v>
      </c>
      <c r="V182" s="12">
        <v>1</v>
      </c>
      <c r="W182" s="12">
        <v>0</v>
      </c>
      <c r="X182" s="12">
        <v>0</v>
      </c>
      <c r="Y182" s="12">
        <v>0</v>
      </c>
      <c r="Z182" s="12">
        <v>1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</row>
    <row r="183" spans="1:33">
      <c r="A183" s="8" t="s">
        <v>407</v>
      </c>
      <c r="B183" s="8" t="s">
        <v>408</v>
      </c>
      <c r="C183" s="9" t="s">
        <v>385</v>
      </c>
      <c r="D183" s="13" t="s">
        <v>386</v>
      </c>
      <c r="E183" s="10" t="s">
        <v>41</v>
      </c>
      <c r="F183" s="11">
        <f t="shared" si="2"/>
        <v>3</v>
      </c>
      <c r="G183" s="12">
        <v>0</v>
      </c>
      <c r="H183" s="12">
        <v>0</v>
      </c>
      <c r="I183" s="12">
        <v>0</v>
      </c>
      <c r="J183" s="12">
        <v>0</v>
      </c>
      <c r="K183" s="12">
        <v>1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1</v>
      </c>
      <c r="AE183" s="12">
        <v>0</v>
      </c>
      <c r="AF183" s="12">
        <v>1</v>
      </c>
      <c r="AG183" s="12">
        <v>0</v>
      </c>
    </row>
    <row r="184" spans="1:33">
      <c r="A184" s="8" t="s">
        <v>409</v>
      </c>
      <c r="B184" s="8" t="s">
        <v>410</v>
      </c>
      <c r="C184" s="9" t="s">
        <v>385</v>
      </c>
      <c r="D184" s="13" t="s">
        <v>386</v>
      </c>
      <c r="E184" s="10" t="s">
        <v>41</v>
      </c>
      <c r="F184" s="11">
        <f t="shared" si="2"/>
        <v>2</v>
      </c>
      <c r="G184" s="12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1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</row>
    <row r="185" spans="1:33">
      <c r="A185" s="8" t="s">
        <v>411</v>
      </c>
      <c r="B185" s="8" t="s">
        <v>412</v>
      </c>
      <c r="C185" s="9" t="s">
        <v>385</v>
      </c>
      <c r="D185" s="13" t="s">
        <v>386</v>
      </c>
      <c r="E185" s="10" t="s">
        <v>36</v>
      </c>
      <c r="F185" s="11">
        <f t="shared" si="2"/>
        <v>3</v>
      </c>
      <c r="G185" s="12">
        <v>1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1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1</v>
      </c>
      <c r="AB185" s="12">
        <v>0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</row>
    <row r="186" spans="1:33">
      <c r="A186" s="8" t="s">
        <v>413</v>
      </c>
      <c r="B186" s="8" t="s">
        <v>414</v>
      </c>
      <c r="C186" s="9" t="s">
        <v>385</v>
      </c>
      <c r="D186" s="13" t="s">
        <v>386</v>
      </c>
      <c r="E186" s="10" t="s">
        <v>36</v>
      </c>
      <c r="F186" s="11">
        <f t="shared" si="2"/>
        <v>2</v>
      </c>
      <c r="G186" s="12">
        <v>0</v>
      </c>
      <c r="H186" s="12">
        <v>0</v>
      </c>
      <c r="I186" s="12">
        <v>0</v>
      </c>
      <c r="J186" s="12">
        <v>1</v>
      </c>
      <c r="K186" s="12">
        <v>0</v>
      </c>
      <c r="L186" s="12">
        <v>0</v>
      </c>
      <c r="M186" s="12">
        <v>0</v>
      </c>
      <c r="N186" s="12">
        <v>1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</row>
    <row r="187" spans="1:33">
      <c r="A187" s="8" t="s">
        <v>415</v>
      </c>
      <c r="B187" s="8" t="s">
        <v>416</v>
      </c>
      <c r="C187" s="9" t="s">
        <v>385</v>
      </c>
      <c r="D187" s="13" t="s">
        <v>386</v>
      </c>
      <c r="E187" s="10" t="s">
        <v>41</v>
      </c>
      <c r="F187" s="11">
        <f t="shared" si="2"/>
        <v>2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1</v>
      </c>
      <c r="W187" s="12">
        <v>0</v>
      </c>
      <c r="X187" s="12">
        <v>0</v>
      </c>
      <c r="Y187" s="12">
        <v>0</v>
      </c>
      <c r="Z187" s="12">
        <v>0</v>
      </c>
      <c r="AA187" s="12">
        <v>1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</row>
    <row r="188" spans="1:33">
      <c r="A188" s="8" t="s">
        <v>417</v>
      </c>
      <c r="B188" s="8" t="s">
        <v>418</v>
      </c>
      <c r="C188" s="9" t="s">
        <v>385</v>
      </c>
      <c r="D188" s="13" t="s">
        <v>386</v>
      </c>
      <c r="E188" s="10" t="s">
        <v>36</v>
      </c>
      <c r="F188" s="11">
        <f t="shared" si="2"/>
        <v>1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1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</row>
    <row r="189" spans="1:33">
      <c r="A189" s="8" t="s">
        <v>419</v>
      </c>
      <c r="B189" s="8" t="s">
        <v>420</v>
      </c>
      <c r="C189" s="9" t="s">
        <v>385</v>
      </c>
      <c r="D189" s="13" t="s">
        <v>386</v>
      </c>
      <c r="E189" s="10" t="s">
        <v>41</v>
      </c>
      <c r="F189" s="11">
        <f t="shared" si="2"/>
        <v>2</v>
      </c>
      <c r="G189" s="12">
        <v>1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1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s="12">
        <v>0</v>
      </c>
    </row>
    <row r="190" spans="1:33">
      <c r="A190" s="8" t="s">
        <v>421</v>
      </c>
      <c r="B190" s="8" t="s">
        <v>422</v>
      </c>
      <c r="C190" s="9" t="s">
        <v>385</v>
      </c>
      <c r="D190" s="13" t="s">
        <v>386</v>
      </c>
      <c r="E190" s="10" t="s">
        <v>41</v>
      </c>
      <c r="F190" s="11">
        <f t="shared" si="2"/>
        <v>2</v>
      </c>
      <c r="G190" s="12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1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</row>
    <row r="191" spans="1:33">
      <c r="A191" s="8" t="s">
        <v>423</v>
      </c>
      <c r="B191" s="8" t="s">
        <v>424</v>
      </c>
      <c r="C191" s="9" t="s">
        <v>385</v>
      </c>
      <c r="D191" s="13" t="s">
        <v>386</v>
      </c>
      <c r="E191" s="10" t="s">
        <v>41</v>
      </c>
      <c r="F191" s="11">
        <f t="shared" si="2"/>
        <v>1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1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0</v>
      </c>
      <c r="AF191" s="12">
        <v>0</v>
      </c>
      <c r="AG191" s="12">
        <v>0</v>
      </c>
    </row>
    <row r="192" spans="1:33">
      <c r="A192" s="8" t="s">
        <v>425</v>
      </c>
      <c r="B192" s="8" t="s">
        <v>426</v>
      </c>
      <c r="C192" s="9" t="s">
        <v>385</v>
      </c>
      <c r="D192" s="13" t="s">
        <v>386</v>
      </c>
      <c r="E192" s="10" t="s">
        <v>41</v>
      </c>
      <c r="F192" s="11">
        <f t="shared" si="2"/>
        <v>1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1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</row>
    <row r="193" spans="1:33">
      <c r="A193" s="8" t="s">
        <v>427</v>
      </c>
      <c r="B193" s="8" t="s">
        <v>428</v>
      </c>
      <c r="C193" s="9" t="s">
        <v>385</v>
      </c>
      <c r="D193" s="13" t="s">
        <v>386</v>
      </c>
      <c r="E193" s="10" t="s">
        <v>41</v>
      </c>
      <c r="F193" s="11">
        <f t="shared" si="2"/>
        <v>1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1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</row>
    <row r="194" spans="1:33">
      <c r="A194" s="8" t="s">
        <v>429</v>
      </c>
      <c r="B194" s="8" t="s">
        <v>430</v>
      </c>
      <c r="C194" s="9" t="s">
        <v>385</v>
      </c>
      <c r="D194" s="13" t="s">
        <v>386</v>
      </c>
      <c r="E194" s="10" t="s">
        <v>41</v>
      </c>
      <c r="F194" s="11">
        <f t="shared" ref="F194:F257" si="3">SUM(G194:AG194)</f>
        <v>1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1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</row>
    <row r="195" spans="1:33">
      <c r="A195" s="8" t="s">
        <v>431</v>
      </c>
      <c r="B195" s="8" t="s">
        <v>432</v>
      </c>
      <c r="C195" s="9" t="s">
        <v>385</v>
      </c>
      <c r="D195" s="13" t="s">
        <v>386</v>
      </c>
      <c r="E195" s="10" t="s">
        <v>41</v>
      </c>
      <c r="F195" s="11">
        <f t="shared" si="3"/>
        <v>1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1</v>
      </c>
      <c r="AF195" s="12">
        <v>0</v>
      </c>
      <c r="AG195" s="12">
        <v>0</v>
      </c>
    </row>
    <row r="196" spans="1:33">
      <c r="A196" s="8" t="s">
        <v>433</v>
      </c>
      <c r="B196" s="8" t="s">
        <v>434</v>
      </c>
      <c r="C196" s="9" t="s">
        <v>385</v>
      </c>
      <c r="D196" s="13" t="s">
        <v>386</v>
      </c>
      <c r="E196" s="10" t="s">
        <v>41</v>
      </c>
      <c r="F196" s="11">
        <f t="shared" si="3"/>
        <v>1</v>
      </c>
      <c r="G196" s="12">
        <v>0</v>
      </c>
      <c r="H196" s="12">
        <v>0</v>
      </c>
      <c r="I196" s="12">
        <v>0</v>
      </c>
      <c r="J196" s="12">
        <v>0</v>
      </c>
      <c r="K196" s="12">
        <v>1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</row>
    <row r="197" spans="1:33">
      <c r="A197" s="8" t="s">
        <v>435</v>
      </c>
      <c r="B197" s="8" t="s">
        <v>436</v>
      </c>
      <c r="C197" s="9" t="s">
        <v>385</v>
      </c>
      <c r="D197" s="13" t="s">
        <v>386</v>
      </c>
      <c r="E197" s="10" t="s">
        <v>41</v>
      </c>
      <c r="F197" s="11">
        <f t="shared" si="3"/>
        <v>1</v>
      </c>
      <c r="G197" s="12">
        <v>0</v>
      </c>
      <c r="H197" s="12">
        <v>1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2">
        <v>0</v>
      </c>
      <c r="AC197" s="12">
        <v>0</v>
      </c>
      <c r="AD197" s="12">
        <v>0</v>
      </c>
      <c r="AE197" s="12">
        <v>0</v>
      </c>
      <c r="AF197" s="12">
        <v>0</v>
      </c>
      <c r="AG197" s="12">
        <v>0</v>
      </c>
    </row>
    <row r="198" spans="1:33">
      <c r="A198" s="8" t="s">
        <v>437</v>
      </c>
      <c r="B198" s="8" t="s">
        <v>438</v>
      </c>
      <c r="C198" s="9" t="s">
        <v>439</v>
      </c>
      <c r="D198" s="9" t="s">
        <v>260</v>
      </c>
      <c r="E198" s="10" t="s">
        <v>36</v>
      </c>
      <c r="F198" s="11">
        <f t="shared" si="3"/>
        <v>11</v>
      </c>
      <c r="G198" s="12">
        <v>1</v>
      </c>
      <c r="H198" s="12">
        <v>1</v>
      </c>
      <c r="I198" s="12">
        <v>0</v>
      </c>
      <c r="J198" s="12">
        <v>1</v>
      </c>
      <c r="K198" s="12">
        <v>0</v>
      </c>
      <c r="L198" s="12">
        <v>0</v>
      </c>
      <c r="M198" s="12">
        <v>0</v>
      </c>
      <c r="N198" s="12">
        <v>1</v>
      </c>
      <c r="O198" s="12">
        <v>0</v>
      </c>
      <c r="P198" s="12">
        <v>1</v>
      </c>
      <c r="Q198" s="12">
        <v>0</v>
      </c>
      <c r="R198" s="12">
        <v>0</v>
      </c>
      <c r="S198" s="12">
        <v>0</v>
      </c>
      <c r="T198" s="12">
        <v>1</v>
      </c>
      <c r="U198" s="12">
        <v>0</v>
      </c>
      <c r="V198" s="12">
        <v>1</v>
      </c>
      <c r="W198" s="12">
        <v>0</v>
      </c>
      <c r="X198" s="12">
        <v>0</v>
      </c>
      <c r="Y198" s="12">
        <v>0</v>
      </c>
      <c r="Z198" s="12">
        <v>1</v>
      </c>
      <c r="AA198" s="12">
        <v>1</v>
      </c>
      <c r="AB198" s="12">
        <v>0</v>
      </c>
      <c r="AC198" s="12">
        <v>0</v>
      </c>
      <c r="AD198" s="12">
        <v>1</v>
      </c>
      <c r="AE198" s="12">
        <v>0</v>
      </c>
      <c r="AF198" s="12">
        <v>0</v>
      </c>
      <c r="AG198" s="12">
        <v>1</v>
      </c>
    </row>
    <row r="199" spans="1:33">
      <c r="A199" s="8" t="s">
        <v>440</v>
      </c>
      <c r="B199" s="8" t="s">
        <v>441</v>
      </c>
      <c r="C199" s="9" t="s">
        <v>439</v>
      </c>
      <c r="D199" s="9" t="s">
        <v>260</v>
      </c>
      <c r="E199" s="10" t="s">
        <v>36</v>
      </c>
      <c r="F199" s="11">
        <f t="shared" si="3"/>
        <v>11</v>
      </c>
      <c r="G199" s="12">
        <v>1</v>
      </c>
      <c r="H199" s="12">
        <v>1</v>
      </c>
      <c r="I199" s="12">
        <v>0</v>
      </c>
      <c r="J199" s="12">
        <v>1</v>
      </c>
      <c r="K199" s="12">
        <v>1</v>
      </c>
      <c r="L199" s="12">
        <v>0</v>
      </c>
      <c r="M199" s="12">
        <v>1</v>
      </c>
      <c r="N199" s="12">
        <v>0</v>
      </c>
      <c r="O199" s="12">
        <v>0</v>
      </c>
      <c r="P199" s="12">
        <v>1</v>
      </c>
      <c r="Q199" s="12">
        <v>0</v>
      </c>
      <c r="R199" s="12">
        <v>0</v>
      </c>
      <c r="S199" s="12">
        <v>0</v>
      </c>
      <c r="T199" s="12">
        <v>1</v>
      </c>
      <c r="U199" s="12">
        <v>0</v>
      </c>
      <c r="V199" s="12">
        <v>0</v>
      </c>
      <c r="W199" s="12">
        <v>0</v>
      </c>
      <c r="X199" s="12">
        <v>1</v>
      </c>
      <c r="Y199" s="12">
        <v>0</v>
      </c>
      <c r="Z199" s="12">
        <v>0</v>
      </c>
      <c r="AA199" s="12">
        <v>1</v>
      </c>
      <c r="AB199" s="12">
        <v>1</v>
      </c>
      <c r="AC199" s="12">
        <v>0</v>
      </c>
      <c r="AD199" s="12">
        <v>0</v>
      </c>
      <c r="AE199" s="12">
        <v>0</v>
      </c>
      <c r="AF199" s="12">
        <v>0</v>
      </c>
      <c r="AG199" s="12">
        <v>1</v>
      </c>
    </row>
    <row r="200" spans="1:33">
      <c r="A200" s="8" t="s">
        <v>442</v>
      </c>
      <c r="B200" s="8" t="s">
        <v>443</v>
      </c>
      <c r="C200" s="9" t="s">
        <v>439</v>
      </c>
      <c r="D200" s="9" t="s">
        <v>260</v>
      </c>
      <c r="E200" s="10" t="s">
        <v>36</v>
      </c>
      <c r="F200" s="11">
        <f t="shared" si="3"/>
        <v>10</v>
      </c>
      <c r="G200" s="12">
        <v>1</v>
      </c>
      <c r="H200" s="12">
        <v>0</v>
      </c>
      <c r="I200" s="12">
        <v>0</v>
      </c>
      <c r="J200" s="12">
        <v>1</v>
      </c>
      <c r="K200" s="12">
        <v>1</v>
      </c>
      <c r="L200" s="12">
        <v>0</v>
      </c>
      <c r="M200" s="12">
        <v>1</v>
      </c>
      <c r="N200" s="12">
        <v>1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1</v>
      </c>
      <c r="U200" s="12">
        <v>1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1</v>
      </c>
      <c r="AB200" s="12">
        <v>1</v>
      </c>
      <c r="AC200" s="12">
        <v>0</v>
      </c>
      <c r="AD200" s="12">
        <v>0</v>
      </c>
      <c r="AE200" s="12">
        <v>0</v>
      </c>
      <c r="AF200" s="12">
        <v>0</v>
      </c>
      <c r="AG200" s="12">
        <v>1</v>
      </c>
    </row>
    <row r="201" spans="1:33">
      <c r="A201" s="8" t="s">
        <v>444</v>
      </c>
      <c r="B201" s="8" t="s">
        <v>445</v>
      </c>
      <c r="C201" s="9" t="s">
        <v>439</v>
      </c>
      <c r="D201" s="9" t="s">
        <v>260</v>
      </c>
      <c r="E201" s="10" t="s">
        <v>36</v>
      </c>
      <c r="F201" s="11">
        <f t="shared" si="3"/>
        <v>9</v>
      </c>
      <c r="G201" s="12">
        <v>1</v>
      </c>
      <c r="H201" s="12">
        <v>1</v>
      </c>
      <c r="I201" s="12">
        <v>1</v>
      </c>
      <c r="J201" s="12">
        <v>0</v>
      </c>
      <c r="K201" s="12">
        <v>1</v>
      </c>
      <c r="L201" s="12">
        <v>0</v>
      </c>
      <c r="M201" s="12">
        <v>1</v>
      </c>
      <c r="N201" s="12">
        <v>1</v>
      </c>
      <c r="O201" s="12">
        <v>0</v>
      </c>
      <c r="P201" s="12">
        <v>1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1</v>
      </c>
      <c r="AC201" s="12">
        <v>0</v>
      </c>
      <c r="AD201" s="12">
        <v>0</v>
      </c>
      <c r="AE201" s="12">
        <v>0</v>
      </c>
      <c r="AF201" s="12">
        <v>0</v>
      </c>
      <c r="AG201" s="12">
        <v>1</v>
      </c>
    </row>
    <row r="202" spans="1:33">
      <c r="A202" s="8" t="s">
        <v>446</v>
      </c>
      <c r="B202" s="8" t="s">
        <v>447</v>
      </c>
      <c r="C202" s="9" t="s">
        <v>439</v>
      </c>
      <c r="D202" s="9" t="s">
        <v>260</v>
      </c>
      <c r="E202" s="10" t="s">
        <v>36</v>
      </c>
      <c r="F202" s="11">
        <f t="shared" si="3"/>
        <v>9</v>
      </c>
      <c r="G202" s="12">
        <v>1</v>
      </c>
      <c r="H202" s="12">
        <v>0</v>
      </c>
      <c r="I202" s="12">
        <v>0</v>
      </c>
      <c r="J202" s="12">
        <v>1</v>
      </c>
      <c r="K202" s="12">
        <v>1</v>
      </c>
      <c r="L202" s="12">
        <v>0</v>
      </c>
      <c r="M202" s="12">
        <v>0</v>
      </c>
      <c r="N202" s="12">
        <v>0</v>
      </c>
      <c r="O202" s="12">
        <v>1</v>
      </c>
      <c r="P202" s="12">
        <v>0</v>
      </c>
      <c r="Q202" s="12">
        <v>1</v>
      </c>
      <c r="R202" s="12">
        <v>0</v>
      </c>
      <c r="S202" s="12">
        <v>0</v>
      </c>
      <c r="T202" s="12">
        <v>1</v>
      </c>
      <c r="U202" s="12">
        <v>1</v>
      </c>
      <c r="V202" s="12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1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</row>
    <row r="203" spans="1:33">
      <c r="A203" s="8" t="s">
        <v>448</v>
      </c>
      <c r="B203" s="8" t="s">
        <v>449</v>
      </c>
      <c r="C203" s="9" t="s">
        <v>439</v>
      </c>
      <c r="D203" s="9" t="s">
        <v>260</v>
      </c>
      <c r="E203" s="10" t="s">
        <v>36</v>
      </c>
      <c r="F203" s="11">
        <f t="shared" si="3"/>
        <v>7</v>
      </c>
      <c r="G203" s="12">
        <v>1</v>
      </c>
      <c r="H203" s="12">
        <v>1</v>
      </c>
      <c r="I203" s="12">
        <v>1</v>
      </c>
      <c r="J203" s="12">
        <v>0</v>
      </c>
      <c r="K203" s="12">
        <v>0</v>
      </c>
      <c r="L203" s="12">
        <v>0</v>
      </c>
      <c r="M203" s="12">
        <v>1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1</v>
      </c>
      <c r="AA203" s="12">
        <v>0</v>
      </c>
      <c r="AB203" s="12">
        <v>1</v>
      </c>
      <c r="AC203" s="12">
        <v>0</v>
      </c>
      <c r="AD203" s="12">
        <v>1</v>
      </c>
      <c r="AE203" s="12">
        <v>0</v>
      </c>
      <c r="AF203" s="12">
        <v>0</v>
      </c>
      <c r="AG203" s="12">
        <v>0</v>
      </c>
    </row>
    <row r="204" spans="1:33">
      <c r="A204" s="8" t="s">
        <v>450</v>
      </c>
      <c r="B204" s="8" t="s">
        <v>451</v>
      </c>
      <c r="C204" s="9" t="s">
        <v>439</v>
      </c>
      <c r="D204" s="9" t="s">
        <v>260</v>
      </c>
      <c r="E204" s="10" t="s">
        <v>41</v>
      </c>
      <c r="F204" s="11">
        <f t="shared" si="3"/>
        <v>6</v>
      </c>
      <c r="G204" s="12">
        <v>1</v>
      </c>
      <c r="H204" s="12">
        <v>0</v>
      </c>
      <c r="I204" s="12">
        <v>0</v>
      </c>
      <c r="J204" s="12">
        <v>1</v>
      </c>
      <c r="K204" s="12">
        <v>0</v>
      </c>
      <c r="L204" s="12">
        <v>0</v>
      </c>
      <c r="M204" s="12">
        <v>1</v>
      </c>
      <c r="N204" s="12">
        <v>0</v>
      </c>
      <c r="O204" s="12">
        <v>1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1</v>
      </c>
      <c r="AC204" s="12">
        <v>0</v>
      </c>
      <c r="AD204" s="12">
        <v>1</v>
      </c>
      <c r="AE204" s="12">
        <v>0</v>
      </c>
      <c r="AF204" s="12">
        <v>0</v>
      </c>
      <c r="AG204" s="12">
        <v>0</v>
      </c>
    </row>
    <row r="205" spans="1:33">
      <c r="A205" s="8" t="s">
        <v>452</v>
      </c>
      <c r="B205" s="8" t="s">
        <v>453</v>
      </c>
      <c r="C205" s="9" t="s">
        <v>439</v>
      </c>
      <c r="D205" s="9" t="s">
        <v>260</v>
      </c>
      <c r="E205" s="10" t="s">
        <v>36</v>
      </c>
      <c r="F205" s="11">
        <f t="shared" si="3"/>
        <v>5</v>
      </c>
      <c r="G205" s="12">
        <v>1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1</v>
      </c>
      <c r="T205" s="12">
        <v>1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1</v>
      </c>
      <c r="AA205" s="12">
        <v>0</v>
      </c>
      <c r="AB205" s="12">
        <v>1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</row>
    <row r="206" spans="1:33">
      <c r="A206" s="8" t="s">
        <v>454</v>
      </c>
      <c r="B206" s="8" t="s">
        <v>455</v>
      </c>
      <c r="C206" s="9" t="s">
        <v>439</v>
      </c>
      <c r="D206" s="9" t="s">
        <v>260</v>
      </c>
      <c r="E206" s="10" t="s">
        <v>41</v>
      </c>
      <c r="F206" s="11">
        <f t="shared" si="3"/>
        <v>6</v>
      </c>
      <c r="G206" s="12">
        <v>1</v>
      </c>
      <c r="H206" s="12">
        <v>1</v>
      </c>
      <c r="I206" s="12">
        <v>1</v>
      </c>
      <c r="J206" s="12">
        <v>0</v>
      </c>
      <c r="K206" s="12">
        <v>1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1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1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</row>
    <row r="207" spans="1:33">
      <c r="A207" s="8" t="s">
        <v>456</v>
      </c>
      <c r="B207" s="8" t="s">
        <v>457</v>
      </c>
      <c r="C207" s="9" t="s">
        <v>439</v>
      </c>
      <c r="D207" s="9" t="s">
        <v>260</v>
      </c>
      <c r="E207" s="10" t="s">
        <v>41</v>
      </c>
      <c r="F207" s="11">
        <f t="shared" si="3"/>
        <v>4</v>
      </c>
      <c r="G207" s="12">
        <v>1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1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0</v>
      </c>
      <c r="Z207" s="12">
        <v>1</v>
      </c>
      <c r="AA207" s="12">
        <v>1</v>
      </c>
      <c r="AB207" s="12">
        <v>0</v>
      </c>
      <c r="AC207" s="12">
        <v>0</v>
      </c>
      <c r="AD207" s="12">
        <v>0</v>
      </c>
      <c r="AE207" s="12">
        <v>0</v>
      </c>
      <c r="AF207" s="12">
        <v>0</v>
      </c>
      <c r="AG207" s="12">
        <v>0</v>
      </c>
    </row>
    <row r="208" spans="1:33">
      <c r="A208" s="8" t="s">
        <v>458</v>
      </c>
      <c r="B208" s="8" t="s">
        <v>459</v>
      </c>
      <c r="C208" s="9" t="s">
        <v>439</v>
      </c>
      <c r="D208" s="9" t="s">
        <v>260</v>
      </c>
      <c r="E208" s="10" t="s">
        <v>36</v>
      </c>
      <c r="F208" s="11">
        <f t="shared" si="3"/>
        <v>4</v>
      </c>
      <c r="G208" s="12">
        <v>1</v>
      </c>
      <c r="H208" s="12">
        <v>1</v>
      </c>
      <c r="I208" s="12">
        <v>0</v>
      </c>
      <c r="J208" s="12">
        <v>0</v>
      </c>
      <c r="K208" s="12">
        <v>1</v>
      </c>
      <c r="L208" s="12">
        <v>0</v>
      </c>
      <c r="M208" s="12">
        <v>1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</row>
    <row r="209" spans="1:33">
      <c r="A209" s="8" t="s">
        <v>460</v>
      </c>
      <c r="B209" s="8" t="s">
        <v>461</v>
      </c>
      <c r="C209" s="9" t="s">
        <v>439</v>
      </c>
      <c r="D209" s="9" t="s">
        <v>260</v>
      </c>
      <c r="E209" s="10" t="s">
        <v>36</v>
      </c>
      <c r="F209" s="11">
        <f t="shared" si="3"/>
        <v>3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1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1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1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</row>
    <row r="210" spans="1:33">
      <c r="A210" s="8" t="s">
        <v>462</v>
      </c>
      <c r="B210" s="8" t="s">
        <v>463</v>
      </c>
      <c r="C210" s="9" t="s">
        <v>439</v>
      </c>
      <c r="D210" s="9" t="s">
        <v>260</v>
      </c>
      <c r="E210" s="10" t="s">
        <v>36</v>
      </c>
      <c r="F210" s="11">
        <f t="shared" si="3"/>
        <v>2</v>
      </c>
      <c r="G210" s="12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1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</row>
    <row r="211" spans="1:33">
      <c r="A211" s="8" t="s">
        <v>464</v>
      </c>
      <c r="B211" s="8" t="s">
        <v>465</v>
      </c>
      <c r="C211" s="9" t="s">
        <v>439</v>
      </c>
      <c r="D211" s="9" t="s">
        <v>260</v>
      </c>
      <c r="E211" s="10" t="s">
        <v>41</v>
      </c>
      <c r="F211" s="11">
        <f t="shared" si="3"/>
        <v>2</v>
      </c>
      <c r="G211" s="12">
        <v>1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1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</row>
    <row r="212" spans="1:33">
      <c r="A212" s="8" t="s">
        <v>466</v>
      </c>
      <c r="B212" s="8" t="s">
        <v>467</v>
      </c>
      <c r="C212" s="9" t="s">
        <v>439</v>
      </c>
      <c r="D212" s="9" t="s">
        <v>260</v>
      </c>
      <c r="E212" s="10" t="s">
        <v>41</v>
      </c>
      <c r="F212" s="11">
        <f t="shared" si="3"/>
        <v>2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1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1</v>
      </c>
      <c r="AG212" s="12">
        <v>0</v>
      </c>
    </row>
    <row r="213" spans="1:33">
      <c r="A213" s="8" t="s">
        <v>468</v>
      </c>
      <c r="B213" s="8" t="s">
        <v>469</v>
      </c>
      <c r="C213" s="9" t="s">
        <v>439</v>
      </c>
      <c r="D213" s="9" t="s">
        <v>260</v>
      </c>
      <c r="E213" s="10" t="s">
        <v>41</v>
      </c>
      <c r="F213" s="11">
        <f t="shared" si="3"/>
        <v>2</v>
      </c>
      <c r="G213" s="12">
        <v>1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1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</row>
    <row r="214" spans="1:33">
      <c r="A214" s="8" t="s">
        <v>470</v>
      </c>
      <c r="B214" s="8" t="s">
        <v>471</v>
      </c>
      <c r="C214" s="9" t="s">
        <v>439</v>
      </c>
      <c r="D214" s="9" t="s">
        <v>260</v>
      </c>
      <c r="E214" s="10" t="s">
        <v>41</v>
      </c>
      <c r="F214" s="11">
        <f t="shared" si="3"/>
        <v>1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1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</row>
    <row r="215" spans="1:33">
      <c r="A215" s="8" t="s">
        <v>472</v>
      </c>
      <c r="B215" s="8" t="s">
        <v>473</v>
      </c>
      <c r="C215" s="9" t="s">
        <v>439</v>
      </c>
      <c r="D215" s="9" t="s">
        <v>260</v>
      </c>
      <c r="E215" s="10" t="s">
        <v>41</v>
      </c>
      <c r="F215" s="11">
        <f t="shared" si="3"/>
        <v>1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1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0</v>
      </c>
    </row>
    <row r="216" spans="1:33">
      <c r="A216" s="8" t="s">
        <v>474</v>
      </c>
      <c r="B216" s="8" t="s">
        <v>475</v>
      </c>
      <c r="C216" s="9" t="s">
        <v>439</v>
      </c>
      <c r="D216" s="9" t="s">
        <v>260</v>
      </c>
      <c r="E216" s="10" t="s">
        <v>41</v>
      </c>
      <c r="F216" s="11">
        <f t="shared" si="3"/>
        <v>1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1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</row>
    <row r="217" spans="1:33">
      <c r="A217" s="8" t="s">
        <v>476</v>
      </c>
      <c r="B217" s="8" t="s">
        <v>477</v>
      </c>
      <c r="C217" s="9" t="s">
        <v>439</v>
      </c>
      <c r="D217" s="9" t="s">
        <v>260</v>
      </c>
      <c r="E217" s="10" t="s">
        <v>41</v>
      </c>
      <c r="F217" s="11">
        <f t="shared" si="3"/>
        <v>1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1</v>
      </c>
      <c r="AC217" s="12">
        <v>0</v>
      </c>
      <c r="AD217" s="12">
        <v>0</v>
      </c>
      <c r="AE217" s="12">
        <v>0</v>
      </c>
      <c r="AF217" s="12">
        <v>0</v>
      </c>
      <c r="AG217" s="12">
        <v>0</v>
      </c>
    </row>
    <row r="218" spans="1:33">
      <c r="A218" s="8" t="s">
        <v>478</v>
      </c>
      <c r="B218" s="8" t="s">
        <v>479</v>
      </c>
      <c r="C218" s="9" t="s">
        <v>439</v>
      </c>
      <c r="D218" s="9" t="s">
        <v>260</v>
      </c>
      <c r="E218" s="10" t="s">
        <v>41</v>
      </c>
      <c r="F218" s="11">
        <f t="shared" si="3"/>
        <v>1</v>
      </c>
      <c r="G218" s="12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</row>
    <row r="219" spans="1:33">
      <c r="A219" s="8" t="s">
        <v>480</v>
      </c>
      <c r="B219" s="8" t="s">
        <v>481</v>
      </c>
      <c r="C219" s="9" t="s">
        <v>439</v>
      </c>
      <c r="D219" s="9" t="s">
        <v>260</v>
      </c>
      <c r="E219" s="10" t="s">
        <v>41</v>
      </c>
      <c r="F219" s="11">
        <f t="shared" si="3"/>
        <v>1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1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0</v>
      </c>
      <c r="AC219" s="12">
        <v>0</v>
      </c>
      <c r="AD219" s="12">
        <v>0</v>
      </c>
      <c r="AE219" s="12">
        <v>0</v>
      </c>
      <c r="AF219" s="12">
        <v>0</v>
      </c>
      <c r="AG219" s="12">
        <v>0</v>
      </c>
    </row>
    <row r="220" spans="1:33">
      <c r="A220" s="8" t="s">
        <v>482</v>
      </c>
      <c r="B220" s="8" t="s">
        <v>483</v>
      </c>
      <c r="C220" s="9" t="s">
        <v>484</v>
      </c>
      <c r="D220" s="13" t="s">
        <v>386</v>
      </c>
      <c r="E220" s="10" t="s">
        <v>36</v>
      </c>
      <c r="F220" s="11">
        <f t="shared" si="3"/>
        <v>7</v>
      </c>
      <c r="G220" s="12">
        <v>1</v>
      </c>
      <c r="H220" s="12">
        <v>1</v>
      </c>
      <c r="I220" s="12">
        <v>0</v>
      </c>
      <c r="J220" s="12">
        <v>0</v>
      </c>
      <c r="K220" s="12">
        <v>0</v>
      </c>
      <c r="L220" s="12">
        <v>0</v>
      </c>
      <c r="M220" s="12">
        <v>1</v>
      </c>
      <c r="N220" s="12">
        <v>1</v>
      </c>
      <c r="O220" s="12">
        <v>1</v>
      </c>
      <c r="P220" s="12">
        <v>0</v>
      </c>
      <c r="Q220" s="12">
        <v>0</v>
      </c>
      <c r="R220" s="12">
        <v>0</v>
      </c>
      <c r="S220" s="12">
        <v>0</v>
      </c>
      <c r="T220" s="12">
        <v>1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1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</row>
    <row r="221" spans="1:33">
      <c r="A221" s="8" t="s">
        <v>485</v>
      </c>
      <c r="B221" s="8" t="s">
        <v>486</v>
      </c>
      <c r="C221" s="9" t="s">
        <v>484</v>
      </c>
      <c r="D221" s="13" t="s">
        <v>386</v>
      </c>
      <c r="E221" s="10" t="s">
        <v>36</v>
      </c>
      <c r="F221" s="11">
        <f t="shared" si="3"/>
        <v>7</v>
      </c>
      <c r="G221" s="12">
        <v>1</v>
      </c>
      <c r="H221" s="12">
        <v>0</v>
      </c>
      <c r="I221" s="12">
        <v>0</v>
      </c>
      <c r="J221" s="12">
        <v>0</v>
      </c>
      <c r="K221" s="12">
        <v>1</v>
      </c>
      <c r="L221" s="12">
        <v>0</v>
      </c>
      <c r="M221" s="12">
        <v>1</v>
      </c>
      <c r="N221" s="12">
        <v>0</v>
      </c>
      <c r="O221" s="12">
        <v>0</v>
      </c>
      <c r="P221" s="12">
        <v>1</v>
      </c>
      <c r="Q221" s="12">
        <v>0</v>
      </c>
      <c r="R221" s="12">
        <v>0</v>
      </c>
      <c r="S221" s="12">
        <v>0</v>
      </c>
      <c r="T221" s="12">
        <v>0</v>
      </c>
      <c r="U221" s="12">
        <v>1</v>
      </c>
      <c r="V221" s="12">
        <v>0</v>
      </c>
      <c r="W221" s="12">
        <v>0</v>
      </c>
      <c r="X221" s="12">
        <v>0</v>
      </c>
      <c r="Y221" s="12">
        <v>0</v>
      </c>
      <c r="Z221" s="12">
        <v>1</v>
      </c>
      <c r="AA221" s="12">
        <v>0</v>
      </c>
      <c r="AB221" s="12">
        <v>0</v>
      </c>
      <c r="AC221" s="12">
        <v>0</v>
      </c>
      <c r="AD221" s="12">
        <v>1</v>
      </c>
      <c r="AE221" s="12">
        <v>0</v>
      </c>
      <c r="AF221" s="12">
        <v>0</v>
      </c>
      <c r="AG221" s="12">
        <v>0</v>
      </c>
    </row>
    <row r="222" spans="1:33">
      <c r="A222" s="8" t="s">
        <v>487</v>
      </c>
      <c r="B222" s="8" t="s">
        <v>488</v>
      </c>
      <c r="C222" s="9" t="s">
        <v>484</v>
      </c>
      <c r="D222" s="13" t="s">
        <v>386</v>
      </c>
      <c r="E222" s="10" t="s">
        <v>36</v>
      </c>
      <c r="F222" s="11">
        <f t="shared" si="3"/>
        <v>7</v>
      </c>
      <c r="G222" s="12">
        <v>1</v>
      </c>
      <c r="H222" s="12">
        <v>0</v>
      </c>
      <c r="I222" s="12">
        <v>0</v>
      </c>
      <c r="J222" s="12">
        <v>1</v>
      </c>
      <c r="K222" s="12">
        <v>1</v>
      </c>
      <c r="L222" s="12">
        <v>0</v>
      </c>
      <c r="M222" s="12">
        <v>0</v>
      </c>
      <c r="N222" s="12">
        <v>1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1</v>
      </c>
      <c r="X222" s="12">
        <v>0</v>
      </c>
      <c r="Y222" s="12">
        <v>0</v>
      </c>
      <c r="Z222" s="12">
        <v>0</v>
      </c>
      <c r="AA222" s="12">
        <v>1</v>
      </c>
      <c r="AB222" s="12">
        <v>0</v>
      </c>
      <c r="AC222" s="12">
        <v>0</v>
      </c>
      <c r="AD222" s="12">
        <v>1</v>
      </c>
      <c r="AE222" s="12">
        <v>0</v>
      </c>
      <c r="AF222" s="12">
        <v>0</v>
      </c>
      <c r="AG222" s="12">
        <v>0</v>
      </c>
    </row>
    <row r="223" spans="1:33">
      <c r="A223" s="8" t="s">
        <v>489</v>
      </c>
      <c r="B223" s="8" t="s">
        <v>490</v>
      </c>
      <c r="C223" s="9" t="s">
        <v>484</v>
      </c>
      <c r="D223" s="13" t="s">
        <v>386</v>
      </c>
      <c r="E223" s="10" t="s">
        <v>36</v>
      </c>
      <c r="F223" s="11">
        <f t="shared" si="3"/>
        <v>6</v>
      </c>
      <c r="G223" s="12">
        <v>1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1</v>
      </c>
      <c r="N223" s="12">
        <v>0</v>
      </c>
      <c r="O223" s="12">
        <v>0</v>
      </c>
      <c r="P223" s="12">
        <v>1</v>
      </c>
      <c r="Q223" s="12">
        <v>0</v>
      </c>
      <c r="R223" s="12">
        <v>0</v>
      </c>
      <c r="S223" s="12">
        <v>0</v>
      </c>
      <c r="T223" s="12">
        <v>1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1</v>
      </c>
      <c r="AB223" s="12">
        <v>0</v>
      </c>
      <c r="AC223" s="12">
        <v>0</v>
      </c>
      <c r="AD223" s="12">
        <v>1</v>
      </c>
      <c r="AE223" s="12">
        <v>0</v>
      </c>
      <c r="AF223" s="12">
        <v>0</v>
      </c>
      <c r="AG223" s="12">
        <v>0</v>
      </c>
    </row>
    <row r="224" spans="1:33">
      <c r="A224" s="8" t="s">
        <v>491</v>
      </c>
      <c r="B224" s="8" t="s">
        <v>492</v>
      </c>
      <c r="C224" s="9" t="s">
        <v>484</v>
      </c>
      <c r="D224" s="13" t="s">
        <v>386</v>
      </c>
      <c r="E224" s="10" t="s">
        <v>36</v>
      </c>
      <c r="F224" s="11">
        <f t="shared" si="3"/>
        <v>7</v>
      </c>
      <c r="G224" s="12">
        <v>1</v>
      </c>
      <c r="H224" s="12">
        <v>1</v>
      </c>
      <c r="I224" s="12">
        <v>0</v>
      </c>
      <c r="J224" s="12">
        <v>0</v>
      </c>
      <c r="K224" s="12">
        <v>0</v>
      </c>
      <c r="L224" s="12">
        <v>0</v>
      </c>
      <c r="M224" s="12">
        <v>1</v>
      </c>
      <c r="N224" s="12">
        <v>1</v>
      </c>
      <c r="O224" s="12">
        <v>0</v>
      </c>
      <c r="P224" s="12">
        <v>1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  <c r="X224" s="12">
        <v>1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1</v>
      </c>
    </row>
    <row r="225" spans="1:33">
      <c r="A225" s="8" t="s">
        <v>493</v>
      </c>
      <c r="B225" s="8" t="s">
        <v>494</v>
      </c>
      <c r="C225" s="9" t="s">
        <v>484</v>
      </c>
      <c r="D225" s="13" t="s">
        <v>386</v>
      </c>
      <c r="E225" s="10" t="s">
        <v>36</v>
      </c>
      <c r="F225" s="11">
        <f t="shared" si="3"/>
        <v>6</v>
      </c>
      <c r="G225" s="12">
        <v>1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1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1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v>0</v>
      </c>
      <c r="AA225" s="12">
        <v>1</v>
      </c>
      <c r="AB225" s="12">
        <v>0</v>
      </c>
      <c r="AC225" s="12">
        <v>0</v>
      </c>
      <c r="AD225" s="12">
        <v>1</v>
      </c>
      <c r="AE225" s="12">
        <v>0</v>
      </c>
      <c r="AF225" s="12">
        <v>1</v>
      </c>
      <c r="AG225" s="12">
        <v>0</v>
      </c>
    </row>
    <row r="226" spans="1:33">
      <c r="A226" s="8" t="s">
        <v>495</v>
      </c>
      <c r="B226" s="8" t="s">
        <v>496</v>
      </c>
      <c r="C226" s="9" t="s">
        <v>484</v>
      </c>
      <c r="D226" s="13" t="s">
        <v>386</v>
      </c>
      <c r="E226" s="10" t="s">
        <v>36</v>
      </c>
      <c r="F226" s="11">
        <f t="shared" si="3"/>
        <v>5</v>
      </c>
      <c r="G226" s="12">
        <v>1</v>
      </c>
      <c r="H226" s="12">
        <v>0</v>
      </c>
      <c r="I226" s="12">
        <v>0</v>
      </c>
      <c r="J226" s="12">
        <v>0</v>
      </c>
      <c r="K226" s="12">
        <v>1</v>
      </c>
      <c r="L226" s="12">
        <v>0</v>
      </c>
      <c r="M226" s="12">
        <v>1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1</v>
      </c>
      <c r="U226" s="12">
        <v>1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</row>
    <row r="227" spans="1:33">
      <c r="A227" s="8" t="s">
        <v>497</v>
      </c>
      <c r="B227" s="8" t="s">
        <v>498</v>
      </c>
      <c r="C227" s="9" t="s">
        <v>484</v>
      </c>
      <c r="D227" s="13" t="s">
        <v>386</v>
      </c>
      <c r="E227" s="10" t="s">
        <v>36</v>
      </c>
      <c r="F227" s="11">
        <f t="shared" si="3"/>
        <v>6</v>
      </c>
      <c r="G227" s="12">
        <v>1</v>
      </c>
      <c r="H227" s="12">
        <v>1</v>
      </c>
      <c r="I227" s="12">
        <v>0</v>
      </c>
      <c r="J227" s="12">
        <v>0</v>
      </c>
      <c r="K227" s="12">
        <v>1</v>
      </c>
      <c r="L227" s="12">
        <v>0</v>
      </c>
      <c r="M227" s="12">
        <v>1</v>
      </c>
      <c r="N227" s="12">
        <v>0</v>
      </c>
      <c r="O227" s="12">
        <v>1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1</v>
      </c>
      <c r="AB227" s="12">
        <v>0</v>
      </c>
      <c r="AC227" s="12">
        <v>0</v>
      </c>
      <c r="AD227" s="12">
        <v>0</v>
      </c>
      <c r="AE227" s="12">
        <v>0</v>
      </c>
      <c r="AF227" s="12">
        <v>0</v>
      </c>
      <c r="AG227" s="12">
        <v>0</v>
      </c>
    </row>
    <row r="228" spans="1:33">
      <c r="A228" s="8" t="s">
        <v>499</v>
      </c>
      <c r="B228" s="8" t="s">
        <v>500</v>
      </c>
      <c r="C228" s="9" t="s">
        <v>484</v>
      </c>
      <c r="D228" s="13" t="s">
        <v>386</v>
      </c>
      <c r="E228" s="10" t="s">
        <v>36</v>
      </c>
      <c r="F228" s="11">
        <f t="shared" si="3"/>
        <v>6</v>
      </c>
      <c r="G228" s="12">
        <v>1</v>
      </c>
      <c r="H228" s="12">
        <v>0</v>
      </c>
      <c r="I228" s="12">
        <v>0</v>
      </c>
      <c r="J228" s="12">
        <v>1</v>
      </c>
      <c r="K228" s="12">
        <v>0</v>
      </c>
      <c r="L228" s="12">
        <v>0</v>
      </c>
      <c r="M228" s="12">
        <v>0</v>
      </c>
      <c r="N228" s="12">
        <v>1</v>
      </c>
      <c r="O228" s="12">
        <v>0</v>
      </c>
      <c r="P228" s="12">
        <v>0</v>
      </c>
      <c r="Q228" s="12">
        <v>0</v>
      </c>
      <c r="R228" s="12">
        <v>1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1</v>
      </c>
      <c r="AC228" s="12">
        <v>1</v>
      </c>
      <c r="AD228" s="12">
        <v>0</v>
      </c>
      <c r="AE228" s="12">
        <v>0</v>
      </c>
      <c r="AF228" s="12">
        <v>0</v>
      </c>
      <c r="AG228" s="12">
        <v>0</v>
      </c>
    </row>
    <row r="229" spans="1:33">
      <c r="A229" s="8" t="s">
        <v>501</v>
      </c>
      <c r="B229" s="8" t="s">
        <v>502</v>
      </c>
      <c r="C229" s="9" t="s">
        <v>484</v>
      </c>
      <c r="D229" s="13" t="s">
        <v>386</v>
      </c>
      <c r="E229" s="10" t="s">
        <v>36</v>
      </c>
      <c r="F229" s="11">
        <f t="shared" si="3"/>
        <v>6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1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1</v>
      </c>
      <c r="U229" s="12">
        <v>1</v>
      </c>
      <c r="V229" s="12">
        <v>0</v>
      </c>
      <c r="W229" s="12">
        <v>0</v>
      </c>
      <c r="X229" s="12">
        <v>0</v>
      </c>
      <c r="Y229" s="12">
        <v>0</v>
      </c>
      <c r="Z229" s="12">
        <v>1</v>
      </c>
      <c r="AA229" s="12">
        <v>1</v>
      </c>
      <c r="AB229" s="12">
        <v>0</v>
      </c>
      <c r="AC229" s="12">
        <v>0</v>
      </c>
      <c r="AD229" s="12">
        <v>1</v>
      </c>
      <c r="AE229" s="12">
        <v>0</v>
      </c>
      <c r="AF229" s="12">
        <v>0</v>
      </c>
      <c r="AG229" s="12">
        <v>0</v>
      </c>
    </row>
    <row r="230" spans="1:33">
      <c r="A230" s="8" t="s">
        <v>503</v>
      </c>
      <c r="B230" s="8" t="s">
        <v>504</v>
      </c>
      <c r="C230" s="9" t="s">
        <v>484</v>
      </c>
      <c r="D230" s="13" t="s">
        <v>386</v>
      </c>
      <c r="E230" s="10" t="s">
        <v>36</v>
      </c>
      <c r="F230" s="11">
        <f t="shared" si="3"/>
        <v>5</v>
      </c>
      <c r="G230" s="12">
        <v>1</v>
      </c>
      <c r="H230" s="12">
        <v>0</v>
      </c>
      <c r="I230" s="12">
        <v>0</v>
      </c>
      <c r="J230" s="12">
        <v>1</v>
      </c>
      <c r="K230" s="12">
        <v>1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1</v>
      </c>
      <c r="U230" s="12">
        <v>0</v>
      </c>
      <c r="V230" s="12">
        <v>0</v>
      </c>
      <c r="W230" s="12">
        <v>0</v>
      </c>
      <c r="X230" s="12">
        <v>1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</row>
    <row r="231" spans="1:33">
      <c r="A231" s="8" t="s">
        <v>505</v>
      </c>
      <c r="B231" s="8" t="s">
        <v>506</v>
      </c>
      <c r="C231" s="9" t="s">
        <v>484</v>
      </c>
      <c r="D231" s="13" t="s">
        <v>386</v>
      </c>
      <c r="E231" s="10" t="s">
        <v>41</v>
      </c>
      <c r="F231" s="11">
        <f t="shared" si="3"/>
        <v>4</v>
      </c>
      <c r="G231" s="12">
        <v>1</v>
      </c>
      <c r="H231" s="12">
        <v>0</v>
      </c>
      <c r="I231" s="12">
        <v>0</v>
      </c>
      <c r="J231" s="12">
        <v>0</v>
      </c>
      <c r="K231" s="12">
        <v>1</v>
      </c>
      <c r="L231" s="12">
        <v>0</v>
      </c>
      <c r="M231" s="12">
        <v>1</v>
      </c>
      <c r="N231" s="12">
        <v>0</v>
      </c>
      <c r="O231" s="12">
        <v>0</v>
      </c>
      <c r="P231" s="12">
        <v>1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  <c r="X231" s="12">
        <v>0</v>
      </c>
      <c r="Y231" s="12">
        <v>0</v>
      </c>
      <c r="Z231" s="12">
        <v>0</v>
      </c>
      <c r="AA231" s="12">
        <v>0</v>
      </c>
      <c r="AB231" s="12">
        <v>0</v>
      </c>
      <c r="AC231" s="12">
        <v>0</v>
      </c>
      <c r="AD231" s="12">
        <v>0</v>
      </c>
      <c r="AE231" s="12">
        <v>0</v>
      </c>
      <c r="AF231" s="12">
        <v>0</v>
      </c>
      <c r="AG231" s="12">
        <v>0</v>
      </c>
    </row>
    <row r="232" spans="1:33">
      <c r="A232" s="8" t="s">
        <v>507</v>
      </c>
      <c r="B232" s="8" t="s">
        <v>508</v>
      </c>
      <c r="C232" s="9" t="s">
        <v>484</v>
      </c>
      <c r="D232" s="13" t="s">
        <v>386</v>
      </c>
      <c r="E232" s="10" t="s">
        <v>41</v>
      </c>
      <c r="F232" s="11">
        <f t="shared" si="3"/>
        <v>4</v>
      </c>
      <c r="G232" s="12">
        <v>1</v>
      </c>
      <c r="H232" s="12">
        <v>1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1</v>
      </c>
      <c r="V232" s="12">
        <v>0</v>
      </c>
      <c r="W232" s="12">
        <v>1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</row>
    <row r="233" spans="1:33">
      <c r="A233" s="8" t="s">
        <v>509</v>
      </c>
      <c r="B233" s="8" t="s">
        <v>510</v>
      </c>
      <c r="C233" s="9" t="s">
        <v>484</v>
      </c>
      <c r="D233" s="13" t="s">
        <v>386</v>
      </c>
      <c r="E233" s="10" t="s">
        <v>36</v>
      </c>
      <c r="F233" s="11">
        <f t="shared" si="3"/>
        <v>4</v>
      </c>
      <c r="G233" s="12">
        <v>0</v>
      </c>
      <c r="H233" s="12">
        <v>0</v>
      </c>
      <c r="I233" s="12">
        <v>0</v>
      </c>
      <c r="J233" s="12">
        <v>0</v>
      </c>
      <c r="K233" s="12">
        <v>1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1</v>
      </c>
      <c r="T233" s="12">
        <v>0</v>
      </c>
      <c r="U233" s="12">
        <v>0</v>
      </c>
      <c r="V233" s="12">
        <v>0</v>
      </c>
      <c r="W233" s="12">
        <v>1</v>
      </c>
      <c r="X233" s="12">
        <v>0</v>
      </c>
      <c r="Y233" s="12">
        <v>0</v>
      </c>
      <c r="Z233" s="12">
        <v>0</v>
      </c>
      <c r="AA233" s="12">
        <v>0</v>
      </c>
      <c r="AB233" s="12">
        <v>0</v>
      </c>
      <c r="AC233" s="12">
        <v>0</v>
      </c>
      <c r="AD233" s="12">
        <v>1</v>
      </c>
      <c r="AE233" s="12">
        <v>0</v>
      </c>
      <c r="AF233" s="12">
        <v>0</v>
      </c>
      <c r="AG233" s="12">
        <v>0</v>
      </c>
    </row>
    <row r="234" spans="1:33">
      <c r="A234" s="8" t="s">
        <v>511</v>
      </c>
      <c r="B234" s="8" t="s">
        <v>512</v>
      </c>
      <c r="C234" s="9" t="s">
        <v>484</v>
      </c>
      <c r="D234" s="13" t="s">
        <v>386</v>
      </c>
      <c r="E234" s="10" t="s">
        <v>41</v>
      </c>
      <c r="F234" s="11">
        <f t="shared" si="3"/>
        <v>4</v>
      </c>
      <c r="G234" s="12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1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1</v>
      </c>
      <c r="U234" s="12">
        <v>0</v>
      </c>
      <c r="V234" s="12">
        <v>0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1</v>
      </c>
      <c r="AE234" s="12">
        <v>0</v>
      </c>
      <c r="AF234" s="12">
        <v>0</v>
      </c>
      <c r="AG234" s="12">
        <v>0</v>
      </c>
    </row>
    <row r="235" spans="1:33">
      <c r="A235" s="8" t="s">
        <v>513</v>
      </c>
      <c r="B235" s="8" t="s">
        <v>514</v>
      </c>
      <c r="C235" s="9" t="s">
        <v>484</v>
      </c>
      <c r="D235" s="13" t="s">
        <v>386</v>
      </c>
      <c r="E235" s="10" t="s">
        <v>36</v>
      </c>
      <c r="F235" s="11">
        <f t="shared" si="3"/>
        <v>3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12">
        <v>1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0</v>
      </c>
      <c r="Y235" s="12">
        <v>0</v>
      </c>
      <c r="Z235" s="12">
        <v>0</v>
      </c>
      <c r="AA235" s="12">
        <v>1</v>
      </c>
      <c r="AB235" s="12">
        <v>0</v>
      </c>
      <c r="AC235" s="12">
        <v>0</v>
      </c>
      <c r="AD235" s="12">
        <v>1</v>
      </c>
      <c r="AE235" s="12">
        <v>0</v>
      </c>
      <c r="AF235" s="12">
        <v>0</v>
      </c>
      <c r="AG235" s="12">
        <v>0</v>
      </c>
    </row>
    <row r="236" spans="1:33">
      <c r="A236" s="8" t="s">
        <v>515</v>
      </c>
      <c r="B236" s="8" t="s">
        <v>516</v>
      </c>
      <c r="C236" s="9" t="s">
        <v>484</v>
      </c>
      <c r="D236" s="13" t="s">
        <v>386</v>
      </c>
      <c r="E236" s="10" t="s">
        <v>41</v>
      </c>
      <c r="F236" s="11">
        <f t="shared" si="3"/>
        <v>3</v>
      </c>
      <c r="G236" s="12">
        <v>1</v>
      </c>
      <c r="H236" s="12">
        <v>0</v>
      </c>
      <c r="I236" s="12">
        <v>0</v>
      </c>
      <c r="J236" s="12">
        <v>0</v>
      </c>
      <c r="K236" s="12">
        <v>0</v>
      </c>
      <c r="L236" s="12">
        <v>1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0</v>
      </c>
      <c r="AA236" s="12">
        <v>1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</row>
    <row r="237" spans="1:33">
      <c r="A237" s="8" t="s">
        <v>517</v>
      </c>
      <c r="B237" s="8" t="s">
        <v>518</v>
      </c>
      <c r="C237" s="9" t="s">
        <v>484</v>
      </c>
      <c r="D237" s="13" t="s">
        <v>386</v>
      </c>
      <c r="E237" s="10" t="s">
        <v>41</v>
      </c>
      <c r="F237" s="11">
        <f t="shared" si="3"/>
        <v>3</v>
      </c>
      <c r="G237" s="12">
        <v>0</v>
      </c>
      <c r="H237" s="12">
        <v>0</v>
      </c>
      <c r="I237" s="12">
        <v>0</v>
      </c>
      <c r="J237" s="12">
        <v>0</v>
      </c>
      <c r="K237" s="12">
        <v>1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1</v>
      </c>
      <c r="V237" s="12">
        <v>0</v>
      </c>
      <c r="W237" s="12">
        <v>1</v>
      </c>
      <c r="X237" s="12">
        <v>0</v>
      </c>
      <c r="Y237" s="12">
        <v>0</v>
      </c>
      <c r="Z237" s="12">
        <v>0</v>
      </c>
      <c r="AA237" s="12">
        <v>0</v>
      </c>
      <c r="AB237" s="12">
        <v>0</v>
      </c>
      <c r="AC237" s="12">
        <v>0</v>
      </c>
      <c r="AD237" s="12">
        <v>0</v>
      </c>
      <c r="AE237" s="12">
        <v>0</v>
      </c>
      <c r="AF237" s="12">
        <v>0</v>
      </c>
      <c r="AG237" s="12">
        <v>0</v>
      </c>
    </row>
    <row r="238" spans="1:33">
      <c r="A238" s="8" t="s">
        <v>519</v>
      </c>
      <c r="B238" s="8" t="s">
        <v>520</v>
      </c>
      <c r="C238" s="9" t="s">
        <v>484</v>
      </c>
      <c r="D238" s="13" t="s">
        <v>386</v>
      </c>
      <c r="E238" s="10" t="s">
        <v>41</v>
      </c>
      <c r="F238" s="11">
        <f t="shared" si="3"/>
        <v>3</v>
      </c>
      <c r="G238" s="12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1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1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</row>
    <row r="239" spans="1:33">
      <c r="A239" s="8" t="s">
        <v>521</v>
      </c>
      <c r="B239" s="8" t="s">
        <v>522</v>
      </c>
      <c r="C239" s="9" t="s">
        <v>484</v>
      </c>
      <c r="D239" s="13" t="s">
        <v>386</v>
      </c>
      <c r="E239" s="10" t="s">
        <v>41</v>
      </c>
      <c r="F239" s="11">
        <f t="shared" si="3"/>
        <v>3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1</v>
      </c>
      <c r="U239" s="12">
        <v>1</v>
      </c>
      <c r="V239" s="12">
        <v>0</v>
      </c>
      <c r="W239" s="12">
        <v>0</v>
      </c>
      <c r="X239" s="12">
        <v>0</v>
      </c>
      <c r="Y239" s="12">
        <v>0</v>
      </c>
      <c r="Z239" s="12">
        <v>0</v>
      </c>
      <c r="AA239" s="12">
        <v>1</v>
      </c>
      <c r="AB239" s="12">
        <v>0</v>
      </c>
      <c r="AC239" s="12">
        <v>0</v>
      </c>
      <c r="AD239" s="12">
        <v>0</v>
      </c>
      <c r="AE239" s="12">
        <v>0</v>
      </c>
      <c r="AF239" s="12">
        <v>0</v>
      </c>
      <c r="AG239" s="12">
        <v>0</v>
      </c>
    </row>
    <row r="240" spans="1:33">
      <c r="A240" s="8" t="s">
        <v>523</v>
      </c>
      <c r="B240" s="8" t="s">
        <v>524</v>
      </c>
      <c r="C240" s="9" t="s">
        <v>484</v>
      </c>
      <c r="D240" s="13" t="s">
        <v>386</v>
      </c>
      <c r="E240" s="10" t="s">
        <v>41</v>
      </c>
      <c r="F240" s="11">
        <f t="shared" si="3"/>
        <v>3</v>
      </c>
      <c r="G240" s="12">
        <v>1</v>
      </c>
      <c r="H240" s="12">
        <v>0</v>
      </c>
      <c r="I240" s="12">
        <v>0</v>
      </c>
      <c r="J240" s="12">
        <v>0</v>
      </c>
      <c r="K240" s="12">
        <v>1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0</v>
      </c>
      <c r="AA240" s="12">
        <v>1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</row>
    <row r="241" spans="1:33">
      <c r="A241" s="8" t="s">
        <v>525</v>
      </c>
      <c r="B241" s="8" t="s">
        <v>526</v>
      </c>
      <c r="C241" s="9" t="s">
        <v>484</v>
      </c>
      <c r="D241" s="13" t="s">
        <v>386</v>
      </c>
      <c r="E241" s="10" t="s">
        <v>41</v>
      </c>
      <c r="F241" s="11">
        <f t="shared" si="3"/>
        <v>2</v>
      </c>
      <c r="G241" s="12">
        <v>1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1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  <c r="X241" s="12">
        <v>0</v>
      </c>
      <c r="Y241" s="12">
        <v>0</v>
      </c>
      <c r="Z241" s="12">
        <v>0</v>
      </c>
      <c r="AA241" s="12">
        <v>0</v>
      </c>
      <c r="AB241" s="12">
        <v>0</v>
      </c>
      <c r="AC241" s="12">
        <v>0</v>
      </c>
      <c r="AD241" s="12">
        <v>0</v>
      </c>
      <c r="AE241" s="12">
        <v>0</v>
      </c>
      <c r="AF241" s="12">
        <v>0</v>
      </c>
      <c r="AG241" s="12">
        <v>0</v>
      </c>
    </row>
    <row r="242" spans="1:33">
      <c r="A242" s="8" t="s">
        <v>527</v>
      </c>
      <c r="B242" s="8" t="s">
        <v>528</v>
      </c>
      <c r="C242" s="9" t="s">
        <v>484</v>
      </c>
      <c r="D242" s="13" t="s">
        <v>386</v>
      </c>
      <c r="E242" s="10" t="s">
        <v>41</v>
      </c>
      <c r="F242" s="11">
        <f t="shared" si="3"/>
        <v>2</v>
      </c>
      <c r="G242" s="12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1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</row>
    <row r="243" spans="1:33">
      <c r="A243" s="8" t="s">
        <v>529</v>
      </c>
      <c r="B243" s="8" t="s">
        <v>530</v>
      </c>
      <c r="C243" s="9" t="s">
        <v>484</v>
      </c>
      <c r="D243" s="13" t="s">
        <v>386</v>
      </c>
      <c r="E243" s="10" t="s">
        <v>41</v>
      </c>
      <c r="F243" s="11">
        <f t="shared" si="3"/>
        <v>2</v>
      </c>
      <c r="G243" s="12">
        <v>1</v>
      </c>
      <c r="H243" s="12">
        <v>0</v>
      </c>
      <c r="I243" s="12">
        <v>0</v>
      </c>
      <c r="J243" s="12">
        <v>0</v>
      </c>
      <c r="K243" s="12">
        <v>0</v>
      </c>
      <c r="L243" s="12">
        <v>0</v>
      </c>
      <c r="M243" s="12">
        <v>1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v>0</v>
      </c>
      <c r="U243" s="12">
        <v>0</v>
      </c>
      <c r="V243" s="12">
        <v>0</v>
      </c>
      <c r="W243" s="12">
        <v>0</v>
      </c>
      <c r="X243" s="12">
        <v>0</v>
      </c>
      <c r="Y243" s="12">
        <v>0</v>
      </c>
      <c r="Z243" s="12">
        <v>0</v>
      </c>
      <c r="AA243" s="12">
        <v>0</v>
      </c>
      <c r="AB243" s="12">
        <v>0</v>
      </c>
      <c r="AC243" s="12">
        <v>0</v>
      </c>
      <c r="AD243" s="12">
        <v>0</v>
      </c>
      <c r="AE243" s="12">
        <v>0</v>
      </c>
      <c r="AF243" s="12">
        <v>0</v>
      </c>
      <c r="AG243" s="12">
        <v>0</v>
      </c>
    </row>
    <row r="244" spans="1:33">
      <c r="A244" s="8" t="s">
        <v>531</v>
      </c>
      <c r="B244" s="8" t="s">
        <v>532</v>
      </c>
      <c r="C244" s="9" t="s">
        <v>484</v>
      </c>
      <c r="D244" s="13" t="s">
        <v>386</v>
      </c>
      <c r="E244" s="10" t="s">
        <v>41</v>
      </c>
      <c r="F244" s="11">
        <f t="shared" si="3"/>
        <v>2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1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1</v>
      </c>
      <c r="V244" s="12">
        <v>0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</row>
    <row r="245" spans="1:33">
      <c r="A245" s="8" t="s">
        <v>533</v>
      </c>
      <c r="B245" s="8" t="s">
        <v>534</v>
      </c>
      <c r="C245" s="9" t="s">
        <v>484</v>
      </c>
      <c r="D245" s="13" t="s">
        <v>386</v>
      </c>
      <c r="E245" s="10" t="s">
        <v>41</v>
      </c>
      <c r="F245" s="11">
        <f t="shared" si="3"/>
        <v>2</v>
      </c>
      <c r="G245" s="12">
        <v>1</v>
      </c>
      <c r="H245" s="12">
        <v>0</v>
      </c>
      <c r="I245" s="12">
        <v>0</v>
      </c>
      <c r="J245" s="12">
        <v>0</v>
      </c>
      <c r="K245" s="12">
        <v>1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  <c r="W245" s="12">
        <v>0</v>
      </c>
      <c r="X245" s="12">
        <v>0</v>
      </c>
      <c r="Y245" s="12">
        <v>0</v>
      </c>
      <c r="Z245" s="12">
        <v>0</v>
      </c>
      <c r="AA245" s="12">
        <v>0</v>
      </c>
      <c r="AB245" s="12">
        <v>0</v>
      </c>
      <c r="AC245" s="12">
        <v>0</v>
      </c>
      <c r="AD245" s="12">
        <v>0</v>
      </c>
      <c r="AE245" s="12">
        <v>0</v>
      </c>
      <c r="AF245" s="12">
        <v>0</v>
      </c>
      <c r="AG245" s="12">
        <v>0</v>
      </c>
    </row>
    <row r="246" spans="1:33">
      <c r="A246" s="8" t="s">
        <v>535</v>
      </c>
      <c r="B246" s="8" t="s">
        <v>536</v>
      </c>
      <c r="C246" s="9" t="s">
        <v>484</v>
      </c>
      <c r="D246" s="13" t="s">
        <v>386</v>
      </c>
      <c r="E246" s="10" t="s">
        <v>36</v>
      </c>
      <c r="F246" s="11">
        <f t="shared" si="3"/>
        <v>1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1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</row>
    <row r="247" spans="1:33">
      <c r="A247" s="8" t="s">
        <v>537</v>
      </c>
      <c r="B247" s="8" t="s">
        <v>538</v>
      </c>
      <c r="C247" s="9" t="s">
        <v>484</v>
      </c>
      <c r="D247" s="13" t="s">
        <v>386</v>
      </c>
      <c r="E247" s="10" t="s">
        <v>41</v>
      </c>
      <c r="F247" s="11">
        <f t="shared" si="3"/>
        <v>1</v>
      </c>
      <c r="G247" s="12">
        <v>0</v>
      </c>
      <c r="H247" s="12">
        <v>0</v>
      </c>
      <c r="I247" s="12">
        <v>0</v>
      </c>
      <c r="J247" s="12">
        <v>0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0</v>
      </c>
      <c r="W247" s="12">
        <v>0</v>
      </c>
      <c r="X247" s="12">
        <v>0</v>
      </c>
      <c r="Y247" s="12">
        <v>0</v>
      </c>
      <c r="Z247" s="12">
        <v>0</v>
      </c>
      <c r="AA247" s="12">
        <v>0</v>
      </c>
      <c r="AB247" s="12">
        <v>0</v>
      </c>
      <c r="AC247" s="12">
        <v>0</v>
      </c>
      <c r="AD247" s="12">
        <v>1</v>
      </c>
      <c r="AE247" s="12">
        <v>0</v>
      </c>
      <c r="AF247" s="12">
        <v>0</v>
      </c>
      <c r="AG247" s="12">
        <v>0</v>
      </c>
    </row>
    <row r="248" spans="1:33">
      <c r="A248" s="8" t="s">
        <v>539</v>
      </c>
      <c r="B248" s="8" t="s">
        <v>540</v>
      </c>
      <c r="C248" s="9" t="s">
        <v>484</v>
      </c>
      <c r="D248" s="13" t="s">
        <v>386</v>
      </c>
      <c r="E248" s="10" t="s">
        <v>41</v>
      </c>
      <c r="F248" s="11">
        <f t="shared" si="3"/>
        <v>1</v>
      </c>
      <c r="G248" s="12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</row>
    <row r="249" spans="1:33">
      <c r="A249" s="8" t="s">
        <v>541</v>
      </c>
      <c r="B249" s="8" t="s">
        <v>542</v>
      </c>
      <c r="C249" s="9" t="s">
        <v>484</v>
      </c>
      <c r="D249" s="13" t="s">
        <v>386</v>
      </c>
      <c r="E249" s="10" t="s">
        <v>36</v>
      </c>
      <c r="F249" s="11">
        <f t="shared" si="3"/>
        <v>1</v>
      </c>
      <c r="G249" s="12">
        <v>0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>
        <v>0</v>
      </c>
      <c r="W249" s="12">
        <v>0</v>
      </c>
      <c r="X249" s="12">
        <v>0</v>
      </c>
      <c r="Y249" s="12">
        <v>0</v>
      </c>
      <c r="Z249" s="12">
        <v>0</v>
      </c>
      <c r="AA249" s="12">
        <v>0</v>
      </c>
      <c r="AB249" s="12">
        <v>0</v>
      </c>
      <c r="AC249" s="12">
        <v>0</v>
      </c>
      <c r="AD249" s="12">
        <v>1</v>
      </c>
      <c r="AE249" s="12">
        <v>0</v>
      </c>
      <c r="AF249" s="12">
        <v>0</v>
      </c>
      <c r="AG249" s="12">
        <v>0</v>
      </c>
    </row>
    <row r="250" spans="1:33">
      <c r="A250" s="8" t="s">
        <v>543</v>
      </c>
      <c r="B250" s="8" t="s">
        <v>544</v>
      </c>
      <c r="C250" s="9" t="s">
        <v>484</v>
      </c>
      <c r="D250" s="13" t="s">
        <v>386</v>
      </c>
      <c r="E250" s="10" t="s">
        <v>41</v>
      </c>
      <c r="F250" s="11">
        <f t="shared" si="3"/>
        <v>1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  <c r="Y250" s="12">
        <v>0</v>
      </c>
      <c r="Z250" s="12">
        <v>1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</row>
    <row r="251" spans="1:33">
      <c r="A251" s="8" t="s">
        <v>545</v>
      </c>
      <c r="B251" s="8" t="s">
        <v>546</v>
      </c>
      <c r="C251" s="9" t="s">
        <v>484</v>
      </c>
      <c r="D251" s="13" t="s">
        <v>386</v>
      </c>
      <c r="E251" s="10" t="s">
        <v>41</v>
      </c>
      <c r="F251" s="11">
        <f t="shared" si="3"/>
        <v>1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0</v>
      </c>
      <c r="M251" s="12">
        <v>1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0</v>
      </c>
      <c r="X251" s="12">
        <v>0</v>
      </c>
      <c r="Y251" s="12">
        <v>0</v>
      </c>
      <c r="Z251" s="12">
        <v>0</v>
      </c>
      <c r="AA251" s="12">
        <v>0</v>
      </c>
      <c r="AB251" s="12">
        <v>0</v>
      </c>
      <c r="AC251" s="12">
        <v>0</v>
      </c>
      <c r="AD251" s="12">
        <v>0</v>
      </c>
      <c r="AE251" s="12">
        <v>0</v>
      </c>
      <c r="AF251" s="12">
        <v>0</v>
      </c>
      <c r="AG251" s="12">
        <v>0</v>
      </c>
    </row>
    <row r="252" spans="1:33">
      <c r="A252" s="8" t="s">
        <v>547</v>
      </c>
      <c r="B252" s="8" t="s">
        <v>548</v>
      </c>
      <c r="C252" s="9" t="s">
        <v>484</v>
      </c>
      <c r="D252" s="13" t="s">
        <v>386</v>
      </c>
      <c r="E252" s="10" t="s">
        <v>41</v>
      </c>
      <c r="F252" s="11">
        <f t="shared" si="3"/>
        <v>1</v>
      </c>
      <c r="G252" s="12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</row>
    <row r="253" spans="1:33">
      <c r="A253" s="8" t="s">
        <v>549</v>
      </c>
      <c r="B253" s="8" t="s">
        <v>550</v>
      </c>
      <c r="C253" s="9" t="s">
        <v>484</v>
      </c>
      <c r="D253" s="13" t="s">
        <v>386</v>
      </c>
      <c r="E253" s="10" t="s">
        <v>41</v>
      </c>
      <c r="F253" s="11">
        <f t="shared" si="3"/>
        <v>1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2">
        <v>1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0</v>
      </c>
      <c r="W253" s="12">
        <v>0</v>
      </c>
      <c r="X253" s="12">
        <v>0</v>
      </c>
      <c r="Y253" s="12">
        <v>0</v>
      </c>
      <c r="Z253" s="12">
        <v>0</v>
      </c>
      <c r="AA253" s="12">
        <v>0</v>
      </c>
      <c r="AB253" s="12">
        <v>0</v>
      </c>
      <c r="AC253" s="12">
        <v>0</v>
      </c>
      <c r="AD253" s="12">
        <v>0</v>
      </c>
      <c r="AE253" s="12">
        <v>0</v>
      </c>
      <c r="AF253" s="12">
        <v>0</v>
      </c>
      <c r="AG253" s="12">
        <v>0</v>
      </c>
    </row>
    <row r="254" spans="1:33">
      <c r="A254" s="8" t="s">
        <v>551</v>
      </c>
      <c r="B254" s="8" t="s">
        <v>552</v>
      </c>
      <c r="C254" s="9" t="s">
        <v>484</v>
      </c>
      <c r="D254" s="13" t="s">
        <v>386</v>
      </c>
      <c r="E254" s="10" t="s">
        <v>41</v>
      </c>
      <c r="F254" s="11">
        <f t="shared" si="3"/>
        <v>1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12">
        <v>1</v>
      </c>
      <c r="U254" s="12">
        <v>0</v>
      </c>
      <c r="V254" s="12">
        <v>0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</row>
    <row r="255" spans="1:33">
      <c r="A255" s="8" t="s">
        <v>553</v>
      </c>
      <c r="B255" s="8" t="s">
        <v>554</v>
      </c>
      <c r="C255" s="9" t="s">
        <v>484</v>
      </c>
      <c r="D255" s="13" t="s">
        <v>386</v>
      </c>
      <c r="E255" s="10" t="s">
        <v>41</v>
      </c>
      <c r="F255" s="11">
        <f t="shared" si="3"/>
        <v>1</v>
      </c>
      <c r="G255" s="12">
        <v>0</v>
      </c>
      <c r="H255" s="12">
        <v>0</v>
      </c>
      <c r="I255" s="12">
        <v>0</v>
      </c>
      <c r="J255" s="12">
        <v>0</v>
      </c>
      <c r="K255" s="12">
        <v>1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  <c r="X255" s="12">
        <v>0</v>
      </c>
      <c r="Y255" s="12">
        <v>0</v>
      </c>
      <c r="Z255" s="12">
        <v>0</v>
      </c>
      <c r="AA255" s="12">
        <v>0</v>
      </c>
      <c r="AB255" s="12">
        <v>0</v>
      </c>
      <c r="AC255" s="12">
        <v>0</v>
      </c>
      <c r="AD255" s="12">
        <v>0</v>
      </c>
      <c r="AE255" s="12">
        <v>0</v>
      </c>
      <c r="AF255" s="12">
        <v>0</v>
      </c>
      <c r="AG255" s="12">
        <v>0</v>
      </c>
    </row>
    <row r="256" spans="1:33">
      <c r="A256" s="8" t="s">
        <v>555</v>
      </c>
      <c r="B256" s="8" t="s">
        <v>556</v>
      </c>
      <c r="C256" s="9" t="s">
        <v>484</v>
      </c>
      <c r="D256" s="13" t="s">
        <v>386</v>
      </c>
      <c r="E256" s="10" t="s">
        <v>41</v>
      </c>
      <c r="F256" s="11">
        <f t="shared" si="3"/>
        <v>1</v>
      </c>
      <c r="G256" s="12">
        <v>1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0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</row>
    <row r="257" spans="1:33">
      <c r="A257" s="8" t="s">
        <v>557</v>
      </c>
      <c r="B257" s="8" t="s">
        <v>558</v>
      </c>
      <c r="C257" s="9" t="s">
        <v>484</v>
      </c>
      <c r="D257" s="13" t="s">
        <v>386</v>
      </c>
      <c r="E257" s="10" t="s">
        <v>41</v>
      </c>
      <c r="F257" s="11">
        <f t="shared" si="3"/>
        <v>0</v>
      </c>
      <c r="G257" s="12">
        <v>0</v>
      </c>
      <c r="H257" s="12">
        <v>0</v>
      </c>
      <c r="I257" s="12">
        <v>0</v>
      </c>
      <c r="J257" s="12">
        <v>0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0</v>
      </c>
      <c r="V257" s="12">
        <v>0</v>
      </c>
      <c r="W257" s="12">
        <v>0</v>
      </c>
      <c r="X257" s="12">
        <v>0</v>
      </c>
      <c r="Y257" s="12">
        <v>0</v>
      </c>
      <c r="Z257" s="12">
        <v>0</v>
      </c>
      <c r="AA257" s="12">
        <v>0</v>
      </c>
      <c r="AB257" s="12">
        <v>0</v>
      </c>
      <c r="AC257" s="12">
        <v>0</v>
      </c>
      <c r="AD257" s="12">
        <v>0</v>
      </c>
      <c r="AE257" s="12">
        <v>0</v>
      </c>
      <c r="AF257" s="12">
        <v>0</v>
      </c>
      <c r="AG257" s="12">
        <v>0</v>
      </c>
    </row>
    <row r="258" spans="1:33">
      <c r="A258" s="8" t="s">
        <v>559</v>
      </c>
      <c r="B258" s="8" t="s">
        <v>560</v>
      </c>
      <c r="C258" s="9" t="s">
        <v>561</v>
      </c>
      <c r="D258" s="9" t="str">
        <f>VLOOKUP(C258,[1]销售对应表!$C:$J,5,0)</f>
        <v>司法行业组</v>
      </c>
      <c r="E258" s="10" t="s">
        <v>36</v>
      </c>
      <c r="F258" s="11">
        <f t="shared" ref="F258:F321" si="4">SUM(G258:AG258)</f>
        <v>20</v>
      </c>
      <c r="G258" s="12">
        <v>1</v>
      </c>
      <c r="H258" s="12">
        <v>1</v>
      </c>
      <c r="I258" s="12">
        <v>1</v>
      </c>
      <c r="J258" s="12">
        <v>1</v>
      </c>
      <c r="K258" s="12">
        <v>1</v>
      </c>
      <c r="L258" s="12">
        <v>1</v>
      </c>
      <c r="M258" s="12">
        <v>1</v>
      </c>
      <c r="N258" s="12">
        <v>1</v>
      </c>
      <c r="O258" s="12">
        <v>1</v>
      </c>
      <c r="P258" s="12">
        <v>1</v>
      </c>
      <c r="Q258" s="12">
        <v>1</v>
      </c>
      <c r="R258" s="12">
        <v>1</v>
      </c>
      <c r="S258" s="12">
        <v>1</v>
      </c>
      <c r="T258" s="12">
        <v>0</v>
      </c>
      <c r="U258" s="12">
        <v>1</v>
      </c>
      <c r="V258" s="12">
        <v>0</v>
      </c>
      <c r="W258" s="12">
        <v>0</v>
      </c>
      <c r="X258" s="12">
        <v>0</v>
      </c>
      <c r="Y258" s="12">
        <v>0</v>
      </c>
      <c r="Z258" s="12">
        <v>1</v>
      </c>
      <c r="AA258" s="12">
        <v>1</v>
      </c>
      <c r="AB258" s="12">
        <v>1</v>
      </c>
      <c r="AC258" s="12">
        <v>1</v>
      </c>
      <c r="AD258" s="12">
        <v>1</v>
      </c>
      <c r="AE258" s="12">
        <v>0</v>
      </c>
      <c r="AF258" s="12">
        <v>0</v>
      </c>
      <c r="AG258" s="12">
        <v>1</v>
      </c>
    </row>
    <row r="259" spans="1:33">
      <c r="A259" s="8" t="s">
        <v>562</v>
      </c>
      <c r="B259" s="8" t="s">
        <v>563</v>
      </c>
      <c r="C259" s="9" t="s">
        <v>561</v>
      </c>
      <c r="D259" s="9" t="str">
        <f>VLOOKUP(C259,[1]销售对应表!$C:$J,5,0)</f>
        <v>司法行业组</v>
      </c>
      <c r="E259" s="10" t="s">
        <v>36</v>
      </c>
      <c r="F259" s="11">
        <f t="shared" si="4"/>
        <v>17</v>
      </c>
      <c r="G259" s="12">
        <v>1</v>
      </c>
      <c r="H259" s="12">
        <v>0</v>
      </c>
      <c r="I259" s="12">
        <v>0</v>
      </c>
      <c r="J259" s="12">
        <v>1</v>
      </c>
      <c r="K259" s="12">
        <v>1</v>
      </c>
      <c r="L259" s="12">
        <v>1</v>
      </c>
      <c r="M259" s="12">
        <v>0</v>
      </c>
      <c r="N259" s="12">
        <v>1</v>
      </c>
      <c r="O259" s="12">
        <v>1</v>
      </c>
      <c r="P259" s="12">
        <v>0</v>
      </c>
      <c r="Q259" s="12">
        <v>0</v>
      </c>
      <c r="R259" s="12">
        <v>1</v>
      </c>
      <c r="S259" s="12">
        <v>1</v>
      </c>
      <c r="T259" s="12">
        <v>1</v>
      </c>
      <c r="U259" s="12">
        <v>0</v>
      </c>
      <c r="V259" s="12">
        <v>1</v>
      </c>
      <c r="W259" s="12">
        <v>1</v>
      </c>
      <c r="X259" s="12">
        <v>0</v>
      </c>
      <c r="Y259" s="12">
        <v>0</v>
      </c>
      <c r="Z259" s="12">
        <v>0</v>
      </c>
      <c r="AA259" s="12">
        <v>1</v>
      </c>
      <c r="AB259" s="12">
        <v>1</v>
      </c>
      <c r="AC259" s="12">
        <v>1</v>
      </c>
      <c r="AD259" s="12">
        <v>1</v>
      </c>
      <c r="AE259" s="12">
        <v>1</v>
      </c>
      <c r="AF259" s="12">
        <v>0</v>
      </c>
      <c r="AG259" s="12">
        <v>1</v>
      </c>
    </row>
    <row r="260" spans="1:33">
      <c r="A260" s="8" t="s">
        <v>564</v>
      </c>
      <c r="B260" s="8" t="s">
        <v>565</v>
      </c>
      <c r="C260" s="9" t="s">
        <v>561</v>
      </c>
      <c r="D260" s="9" t="str">
        <f>VLOOKUP(C260,[1]销售对应表!$C:$J,5,0)</f>
        <v>司法行业组</v>
      </c>
      <c r="E260" s="10" t="s">
        <v>36</v>
      </c>
      <c r="F260" s="11">
        <f t="shared" si="4"/>
        <v>13</v>
      </c>
      <c r="G260" s="12">
        <v>1</v>
      </c>
      <c r="H260" s="12">
        <v>1</v>
      </c>
      <c r="I260" s="12">
        <v>0</v>
      </c>
      <c r="J260" s="12">
        <v>1</v>
      </c>
      <c r="K260" s="12">
        <v>1</v>
      </c>
      <c r="L260" s="12">
        <v>0</v>
      </c>
      <c r="M260" s="12">
        <v>1</v>
      </c>
      <c r="N260" s="12">
        <v>1</v>
      </c>
      <c r="O260" s="12">
        <v>0</v>
      </c>
      <c r="P260" s="12">
        <v>1</v>
      </c>
      <c r="Q260" s="12">
        <v>1</v>
      </c>
      <c r="R260" s="12">
        <v>0</v>
      </c>
      <c r="S260" s="12">
        <v>1</v>
      </c>
      <c r="T260" s="12">
        <v>0</v>
      </c>
      <c r="U260" s="12">
        <v>0</v>
      </c>
      <c r="V260" s="12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1</v>
      </c>
      <c r="AB260" s="12">
        <v>1</v>
      </c>
      <c r="AC260" s="12">
        <v>1</v>
      </c>
      <c r="AD260" s="12">
        <v>0</v>
      </c>
      <c r="AE260" s="12">
        <v>0</v>
      </c>
      <c r="AF260" s="12">
        <v>0</v>
      </c>
      <c r="AG260" s="12">
        <v>0</v>
      </c>
    </row>
    <row r="261" spans="1:33">
      <c r="A261" s="8" t="s">
        <v>566</v>
      </c>
      <c r="B261" s="8" t="s">
        <v>567</v>
      </c>
      <c r="C261" s="9" t="s">
        <v>561</v>
      </c>
      <c r="D261" s="9" t="str">
        <f>VLOOKUP(C261,[1]销售对应表!$C:$J,5,0)</f>
        <v>司法行业组</v>
      </c>
      <c r="E261" s="10" t="s">
        <v>36</v>
      </c>
      <c r="F261" s="11">
        <f t="shared" si="4"/>
        <v>8</v>
      </c>
      <c r="G261" s="12">
        <v>1</v>
      </c>
      <c r="H261" s="12">
        <v>1</v>
      </c>
      <c r="I261" s="12">
        <v>0</v>
      </c>
      <c r="J261" s="12">
        <v>1</v>
      </c>
      <c r="K261" s="12">
        <v>0</v>
      </c>
      <c r="L261" s="12">
        <v>0</v>
      </c>
      <c r="M261" s="12">
        <v>1</v>
      </c>
      <c r="N261" s="12">
        <v>1</v>
      </c>
      <c r="O261" s="12">
        <v>0</v>
      </c>
      <c r="P261" s="12">
        <v>1</v>
      </c>
      <c r="Q261" s="12">
        <v>1</v>
      </c>
      <c r="R261" s="12">
        <v>0</v>
      </c>
      <c r="S261" s="12">
        <v>0</v>
      </c>
      <c r="T261" s="12">
        <v>0</v>
      </c>
      <c r="U261" s="12">
        <v>0</v>
      </c>
      <c r="V261" s="12">
        <v>0</v>
      </c>
      <c r="W261" s="12">
        <v>0</v>
      </c>
      <c r="X261" s="12">
        <v>0</v>
      </c>
      <c r="Y261" s="12">
        <v>0</v>
      </c>
      <c r="Z261" s="12">
        <v>0</v>
      </c>
      <c r="AA261" s="12">
        <v>0</v>
      </c>
      <c r="AB261" s="12">
        <v>0</v>
      </c>
      <c r="AC261" s="12">
        <v>0</v>
      </c>
      <c r="AD261" s="12">
        <v>0</v>
      </c>
      <c r="AE261" s="12">
        <v>0</v>
      </c>
      <c r="AF261" s="12">
        <v>0</v>
      </c>
      <c r="AG261" s="12">
        <v>1</v>
      </c>
    </row>
    <row r="262" spans="1:33">
      <c r="A262" s="8" t="s">
        <v>568</v>
      </c>
      <c r="B262" s="8" t="s">
        <v>569</v>
      </c>
      <c r="C262" s="9" t="s">
        <v>561</v>
      </c>
      <c r="D262" s="9" t="str">
        <f>VLOOKUP(C262,[1]销售对应表!$C:$J,5,0)</f>
        <v>司法行业组</v>
      </c>
      <c r="E262" s="10" t="s">
        <v>36</v>
      </c>
      <c r="F262" s="11">
        <f t="shared" si="4"/>
        <v>8</v>
      </c>
      <c r="G262" s="12">
        <v>1</v>
      </c>
      <c r="H262" s="12">
        <v>1</v>
      </c>
      <c r="I262" s="12">
        <v>0</v>
      </c>
      <c r="J262" s="12">
        <v>1</v>
      </c>
      <c r="K262" s="12">
        <v>1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1</v>
      </c>
      <c r="U262" s="12">
        <v>0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1</v>
      </c>
      <c r="AC262" s="12">
        <v>1</v>
      </c>
      <c r="AD262" s="12">
        <v>0</v>
      </c>
      <c r="AE262" s="12">
        <v>0</v>
      </c>
      <c r="AF262" s="12">
        <v>1</v>
      </c>
      <c r="AG262" s="12">
        <v>0</v>
      </c>
    </row>
    <row r="263" spans="1:33">
      <c r="A263" s="8" t="s">
        <v>570</v>
      </c>
      <c r="B263" s="8" t="s">
        <v>571</v>
      </c>
      <c r="C263" s="9" t="s">
        <v>561</v>
      </c>
      <c r="D263" s="9" t="str">
        <f>VLOOKUP(C263,[1]销售对应表!$C:$J,5,0)</f>
        <v>司法行业组</v>
      </c>
      <c r="E263" s="10" t="s">
        <v>36</v>
      </c>
      <c r="F263" s="11">
        <f t="shared" si="4"/>
        <v>5</v>
      </c>
      <c r="G263" s="12">
        <v>1</v>
      </c>
      <c r="H263" s="12">
        <v>1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>
        <v>1</v>
      </c>
      <c r="Q263" s="12">
        <v>0</v>
      </c>
      <c r="R263" s="12">
        <v>0</v>
      </c>
      <c r="S263" s="12">
        <v>0</v>
      </c>
      <c r="T263" s="12">
        <v>1</v>
      </c>
      <c r="U263" s="12">
        <v>0</v>
      </c>
      <c r="V263" s="12">
        <v>0</v>
      </c>
      <c r="W263" s="12">
        <v>0</v>
      </c>
      <c r="X263" s="12">
        <v>0</v>
      </c>
      <c r="Y263" s="12">
        <v>0</v>
      </c>
      <c r="Z263" s="12">
        <v>0</v>
      </c>
      <c r="AA263" s="12">
        <v>1</v>
      </c>
      <c r="AB263" s="12">
        <v>0</v>
      </c>
      <c r="AC263" s="12">
        <v>0</v>
      </c>
      <c r="AD263" s="12">
        <v>0</v>
      </c>
      <c r="AE263" s="12">
        <v>0</v>
      </c>
      <c r="AF263" s="12">
        <v>0</v>
      </c>
      <c r="AG263" s="12">
        <v>0</v>
      </c>
    </row>
    <row r="264" spans="1:33">
      <c r="A264" s="8" t="s">
        <v>572</v>
      </c>
      <c r="B264" s="8" t="s">
        <v>573</v>
      </c>
      <c r="C264" s="9" t="s">
        <v>561</v>
      </c>
      <c r="D264" s="9" t="str">
        <f>VLOOKUP(C264,[1]销售对应表!$C:$J,5,0)</f>
        <v>司法行业组</v>
      </c>
      <c r="E264" s="10" t="s">
        <v>41</v>
      </c>
      <c r="F264" s="11">
        <f t="shared" si="4"/>
        <v>3</v>
      </c>
      <c r="G264" s="12">
        <v>0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1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1</v>
      </c>
      <c r="U264" s="12">
        <v>1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</row>
    <row r="265" spans="1:33">
      <c r="A265" s="8" t="s">
        <v>574</v>
      </c>
      <c r="B265" s="8" t="s">
        <v>575</v>
      </c>
      <c r="C265" s="9" t="s">
        <v>561</v>
      </c>
      <c r="D265" s="9" t="str">
        <f>VLOOKUP(C265,[1]销售对应表!$C:$J,5,0)</f>
        <v>司法行业组</v>
      </c>
      <c r="E265" s="10" t="s">
        <v>41</v>
      </c>
      <c r="F265" s="11">
        <f t="shared" si="4"/>
        <v>4</v>
      </c>
      <c r="G265" s="12">
        <v>1</v>
      </c>
      <c r="H265" s="12">
        <v>0</v>
      </c>
      <c r="I265" s="12">
        <v>0</v>
      </c>
      <c r="J265" s="12">
        <v>0</v>
      </c>
      <c r="K265" s="12">
        <v>0</v>
      </c>
      <c r="L265" s="12">
        <v>0</v>
      </c>
      <c r="M265" s="12">
        <v>0</v>
      </c>
      <c r="N265" s="12">
        <v>0</v>
      </c>
      <c r="O265" s="12">
        <v>0</v>
      </c>
      <c r="P265" s="12">
        <v>1</v>
      </c>
      <c r="Q265" s="12">
        <v>0</v>
      </c>
      <c r="R265" s="12">
        <v>1</v>
      </c>
      <c r="S265" s="12">
        <v>0</v>
      </c>
      <c r="T265" s="12">
        <v>0</v>
      </c>
      <c r="U265" s="12">
        <v>0</v>
      </c>
      <c r="V265" s="12">
        <v>0</v>
      </c>
      <c r="W265" s="12">
        <v>0</v>
      </c>
      <c r="X265" s="12">
        <v>0</v>
      </c>
      <c r="Y265" s="12">
        <v>0</v>
      </c>
      <c r="Z265" s="12">
        <v>1</v>
      </c>
      <c r="AA265" s="12">
        <v>0</v>
      </c>
      <c r="AB265" s="12">
        <v>0</v>
      </c>
      <c r="AC265" s="12">
        <v>0</v>
      </c>
      <c r="AD265" s="12">
        <v>0</v>
      </c>
      <c r="AE265" s="12">
        <v>0</v>
      </c>
      <c r="AF265" s="12">
        <v>0</v>
      </c>
      <c r="AG265" s="12">
        <v>0</v>
      </c>
    </row>
    <row r="266" spans="1:33">
      <c r="A266" s="8" t="s">
        <v>576</v>
      </c>
      <c r="B266" s="8" t="s">
        <v>577</v>
      </c>
      <c r="C266" s="9" t="s">
        <v>561</v>
      </c>
      <c r="D266" s="9" t="str">
        <f>VLOOKUP(C266,[1]销售对应表!$C:$J,5,0)</f>
        <v>司法行业组</v>
      </c>
      <c r="E266" s="10" t="s">
        <v>41</v>
      </c>
      <c r="F266" s="11">
        <f t="shared" si="4"/>
        <v>3</v>
      </c>
      <c r="G266" s="12">
        <v>1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1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>
        <v>0</v>
      </c>
      <c r="W266" s="12">
        <v>1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</row>
    <row r="267" spans="1:33">
      <c r="A267" s="8" t="s">
        <v>578</v>
      </c>
      <c r="B267" s="8" t="s">
        <v>579</v>
      </c>
      <c r="C267" s="9" t="s">
        <v>561</v>
      </c>
      <c r="D267" s="9" t="str">
        <f>VLOOKUP(C267,[1]销售对应表!$C:$J,5,0)</f>
        <v>司法行业组</v>
      </c>
      <c r="E267" s="10" t="s">
        <v>41</v>
      </c>
      <c r="F267" s="11">
        <f t="shared" si="4"/>
        <v>3</v>
      </c>
      <c r="G267" s="12">
        <v>1</v>
      </c>
      <c r="H267" s="12">
        <v>1</v>
      </c>
      <c r="I267" s="12">
        <v>0</v>
      </c>
      <c r="J267" s="12">
        <v>0</v>
      </c>
      <c r="K267" s="12">
        <v>0</v>
      </c>
      <c r="L267" s="12">
        <v>0</v>
      </c>
      <c r="M267" s="12">
        <v>1</v>
      </c>
      <c r="N267" s="12">
        <v>0</v>
      </c>
      <c r="O267" s="12">
        <v>0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2">
        <v>0</v>
      </c>
      <c r="V267" s="12">
        <v>0</v>
      </c>
      <c r="W267" s="12">
        <v>0</v>
      </c>
      <c r="X267" s="12">
        <v>0</v>
      </c>
      <c r="Y267" s="12">
        <v>0</v>
      </c>
      <c r="Z267" s="12">
        <v>0</v>
      </c>
      <c r="AA267" s="12">
        <v>0</v>
      </c>
      <c r="AB267" s="12">
        <v>0</v>
      </c>
      <c r="AC267" s="12">
        <v>0</v>
      </c>
      <c r="AD267" s="12">
        <v>0</v>
      </c>
      <c r="AE267" s="12">
        <v>0</v>
      </c>
      <c r="AF267" s="12">
        <v>0</v>
      </c>
      <c r="AG267" s="12">
        <v>0</v>
      </c>
    </row>
    <row r="268" spans="1:33">
      <c r="A268" s="8" t="s">
        <v>580</v>
      </c>
      <c r="B268" s="8" t="s">
        <v>581</v>
      </c>
      <c r="C268" s="9" t="s">
        <v>561</v>
      </c>
      <c r="D268" s="9" t="str">
        <f>VLOOKUP(C268,[1]销售对应表!$C:$J,5,0)</f>
        <v>司法行业组</v>
      </c>
      <c r="E268" s="10" t="s">
        <v>41</v>
      </c>
      <c r="F268" s="11">
        <f t="shared" si="4"/>
        <v>2</v>
      </c>
      <c r="G268" s="12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1</v>
      </c>
      <c r="T268" s="12">
        <v>0</v>
      </c>
      <c r="U268" s="12">
        <v>0</v>
      </c>
      <c r="V268" s="12">
        <v>0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</row>
    <row r="269" spans="1:33">
      <c r="A269" s="8" t="s">
        <v>582</v>
      </c>
      <c r="B269" s="8" t="s">
        <v>583</v>
      </c>
      <c r="C269" s="9" t="s">
        <v>561</v>
      </c>
      <c r="D269" s="9" t="str">
        <f>VLOOKUP(C269,[1]销售对应表!$C:$J,5,0)</f>
        <v>司法行业组</v>
      </c>
      <c r="E269" s="10" t="s">
        <v>41</v>
      </c>
      <c r="F269" s="11">
        <f t="shared" si="4"/>
        <v>2</v>
      </c>
      <c r="G269" s="12">
        <v>0</v>
      </c>
      <c r="H269" s="12">
        <v>0</v>
      </c>
      <c r="I269" s="12">
        <v>0</v>
      </c>
      <c r="J269" s="12">
        <v>1</v>
      </c>
      <c r="K269" s="12">
        <v>0</v>
      </c>
      <c r="L269" s="12">
        <v>0</v>
      </c>
      <c r="M269" s="12">
        <v>0</v>
      </c>
      <c r="N269" s="12">
        <v>0</v>
      </c>
      <c r="O269" s="12">
        <v>0</v>
      </c>
      <c r="P269" s="12">
        <v>0</v>
      </c>
      <c r="Q269" s="12">
        <v>0</v>
      </c>
      <c r="R269" s="12">
        <v>1</v>
      </c>
      <c r="S269" s="12">
        <v>0</v>
      </c>
      <c r="T269" s="12">
        <v>0</v>
      </c>
      <c r="U269" s="12">
        <v>0</v>
      </c>
      <c r="V269" s="12">
        <v>0</v>
      </c>
      <c r="W269" s="12">
        <v>0</v>
      </c>
      <c r="X269" s="12">
        <v>0</v>
      </c>
      <c r="Y269" s="12">
        <v>0</v>
      </c>
      <c r="Z269" s="12">
        <v>0</v>
      </c>
      <c r="AA269" s="12">
        <v>0</v>
      </c>
      <c r="AB269" s="12">
        <v>0</v>
      </c>
      <c r="AC269" s="12">
        <v>0</v>
      </c>
      <c r="AD269" s="12">
        <v>0</v>
      </c>
      <c r="AE269" s="12">
        <v>0</v>
      </c>
      <c r="AF269" s="12">
        <v>0</v>
      </c>
      <c r="AG269" s="12">
        <v>0</v>
      </c>
    </row>
    <row r="270" spans="1:33">
      <c r="A270" s="8" t="s">
        <v>584</v>
      </c>
      <c r="B270" s="8" t="s">
        <v>585</v>
      </c>
      <c r="C270" s="9" t="s">
        <v>561</v>
      </c>
      <c r="D270" s="9" t="str">
        <f>VLOOKUP(C270,[1]销售对应表!$C:$J,5,0)</f>
        <v>司法行业组</v>
      </c>
      <c r="E270" s="10" t="s">
        <v>36</v>
      </c>
      <c r="F270" s="11">
        <f t="shared" si="4"/>
        <v>1</v>
      </c>
      <c r="G270" s="12">
        <v>0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1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</row>
    <row r="271" spans="1:33">
      <c r="A271" s="8" t="s">
        <v>586</v>
      </c>
      <c r="B271" s="8" t="s">
        <v>587</v>
      </c>
      <c r="C271" s="9" t="s">
        <v>561</v>
      </c>
      <c r="D271" s="9" t="str">
        <f>VLOOKUP(C271,[1]销售对应表!$C:$J,5,0)</f>
        <v>司法行业组</v>
      </c>
      <c r="E271" s="10" t="s">
        <v>41</v>
      </c>
      <c r="F271" s="11">
        <f t="shared" si="4"/>
        <v>2</v>
      </c>
      <c r="G271" s="12">
        <v>0</v>
      </c>
      <c r="H271" s="12">
        <v>0</v>
      </c>
      <c r="I271" s="12">
        <v>0</v>
      </c>
      <c r="J271" s="12">
        <v>1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0</v>
      </c>
      <c r="AC271" s="12">
        <v>0</v>
      </c>
      <c r="AD271" s="12">
        <v>1</v>
      </c>
      <c r="AE271" s="12">
        <v>0</v>
      </c>
      <c r="AF271" s="12">
        <v>0</v>
      </c>
      <c r="AG271" s="12">
        <v>0</v>
      </c>
    </row>
    <row r="272" spans="1:33">
      <c r="A272" s="8" t="s">
        <v>588</v>
      </c>
      <c r="B272" s="8" t="s">
        <v>589</v>
      </c>
      <c r="C272" s="9" t="s">
        <v>561</v>
      </c>
      <c r="D272" s="9" t="str">
        <f>VLOOKUP(C272,[1]销售对应表!$C:$J,5,0)</f>
        <v>司法行业组</v>
      </c>
      <c r="E272" s="10" t="s">
        <v>41</v>
      </c>
      <c r="F272" s="11">
        <f t="shared" si="4"/>
        <v>1</v>
      </c>
      <c r="G272" s="12">
        <v>0</v>
      </c>
      <c r="H272" s="12">
        <v>1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0</v>
      </c>
      <c r="V272" s="12">
        <v>0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</row>
    <row r="273" spans="1:33">
      <c r="A273" s="8" t="s">
        <v>590</v>
      </c>
      <c r="B273" s="8" t="s">
        <v>591</v>
      </c>
      <c r="C273" s="9" t="s">
        <v>561</v>
      </c>
      <c r="D273" s="9" t="str">
        <f>VLOOKUP(C273,[1]销售对应表!$C:$J,5,0)</f>
        <v>司法行业组</v>
      </c>
      <c r="E273" s="10" t="s">
        <v>41</v>
      </c>
      <c r="F273" s="11">
        <f t="shared" si="4"/>
        <v>1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0</v>
      </c>
      <c r="V273" s="12">
        <v>0</v>
      </c>
      <c r="W273" s="12">
        <v>0</v>
      </c>
      <c r="X273" s="12">
        <v>0</v>
      </c>
      <c r="Y273" s="12">
        <v>0</v>
      </c>
      <c r="Z273" s="12">
        <v>0</v>
      </c>
      <c r="AA273" s="12">
        <v>0</v>
      </c>
      <c r="AB273" s="12">
        <v>0</v>
      </c>
      <c r="AC273" s="12">
        <v>0</v>
      </c>
      <c r="AD273" s="12">
        <v>1</v>
      </c>
      <c r="AE273" s="12">
        <v>0</v>
      </c>
      <c r="AF273" s="12">
        <v>0</v>
      </c>
      <c r="AG273" s="12">
        <v>0</v>
      </c>
    </row>
    <row r="274" spans="1:33">
      <c r="A274" s="8" t="s">
        <v>592</v>
      </c>
      <c r="B274" s="8" t="s">
        <v>593</v>
      </c>
      <c r="C274" s="9" t="s">
        <v>561</v>
      </c>
      <c r="D274" s="9" t="str">
        <f>VLOOKUP(C274,[1]销售对应表!$C:$J,5,0)</f>
        <v>司法行业组</v>
      </c>
      <c r="E274" s="10" t="s">
        <v>41</v>
      </c>
      <c r="F274" s="11">
        <f t="shared" si="4"/>
        <v>1</v>
      </c>
      <c r="G274" s="12">
        <v>0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1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  <c r="V274" s="12">
        <v>0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</row>
    <row r="275" spans="1:33">
      <c r="A275" s="8" t="s">
        <v>594</v>
      </c>
      <c r="B275" s="8" t="s">
        <v>595</v>
      </c>
      <c r="C275" s="9" t="s">
        <v>561</v>
      </c>
      <c r="D275" s="9" t="str">
        <f>VLOOKUP(C275,[1]销售对应表!$C:$J,5,0)</f>
        <v>司法行业组</v>
      </c>
      <c r="E275" s="10" t="s">
        <v>41</v>
      </c>
      <c r="F275" s="11">
        <f t="shared" si="4"/>
        <v>1</v>
      </c>
      <c r="G275" s="12">
        <v>0</v>
      </c>
      <c r="H275" s="12">
        <v>1</v>
      </c>
      <c r="I275" s="12">
        <v>0</v>
      </c>
      <c r="J275" s="12">
        <v>0</v>
      </c>
      <c r="K275" s="12">
        <v>0</v>
      </c>
      <c r="L275" s="12">
        <v>0</v>
      </c>
      <c r="M275" s="12">
        <v>0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0</v>
      </c>
      <c r="W275" s="12">
        <v>0</v>
      </c>
      <c r="X275" s="12">
        <v>0</v>
      </c>
      <c r="Y275" s="12">
        <v>0</v>
      </c>
      <c r="Z275" s="12">
        <v>0</v>
      </c>
      <c r="AA275" s="12">
        <v>0</v>
      </c>
      <c r="AB275" s="12">
        <v>0</v>
      </c>
      <c r="AC275" s="12">
        <v>0</v>
      </c>
      <c r="AD275" s="12">
        <v>0</v>
      </c>
      <c r="AE275" s="12">
        <v>0</v>
      </c>
      <c r="AF275" s="12">
        <v>0</v>
      </c>
      <c r="AG275" s="12">
        <v>0</v>
      </c>
    </row>
    <row r="276" spans="1:33">
      <c r="A276" s="8" t="s">
        <v>596</v>
      </c>
      <c r="B276" s="8" t="s">
        <v>597</v>
      </c>
      <c r="C276" s="9" t="s">
        <v>598</v>
      </c>
      <c r="D276" s="9" t="str">
        <f>VLOOKUP(C276,[1]销售对应表!$C:$J,5,0)</f>
        <v>司法行业组</v>
      </c>
      <c r="E276" s="10" t="s">
        <v>36</v>
      </c>
      <c r="F276" s="11">
        <f t="shared" si="4"/>
        <v>23</v>
      </c>
      <c r="G276" s="12">
        <v>1</v>
      </c>
      <c r="H276" s="12">
        <v>1</v>
      </c>
      <c r="I276" s="12">
        <v>0</v>
      </c>
      <c r="J276" s="12">
        <v>1</v>
      </c>
      <c r="K276" s="12">
        <v>1</v>
      </c>
      <c r="L276" s="12">
        <v>1</v>
      </c>
      <c r="M276" s="12">
        <v>1</v>
      </c>
      <c r="N276" s="12">
        <v>1</v>
      </c>
      <c r="O276" s="12">
        <v>0</v>
      </c>
      <c r="P276" s="12">
        <v>1</v>
      </c>
      <c r="Q276" s="12">
        <v>0</v>
      </c>
      <c r="R276" s="12">
        <v>1</v>
      </c>
      <c r="S276" s="12">
        <v>1</v>
      </c>
      <c r="T276" s="12">
        <v>1</v>
      </c>
      <c r="U276" s="12">
        <v>1</v>
      </c>
      <c r="V276" s="12">
        <v>1</v>
      </c>
      <c r="W276" s="12">
        <v>1</v>
      </c>
      <c r="X276" s="12">
        <v>1</v>
      </c>
      <c r="Y276" s="12">
        <v>1</v>
      </c>
      <c r="Z276" s="12">
        <v>1</v>
      </c>
      <c r="AA276" s="12">
        <v>0</v>
      </c>
      <c r="AB276" s="12">
        <v>1</v>
      </c>
      <c r="AC276" s="12">
        <v>1</v>
      </c>
      <c r="AD276" s="12">
        <v>1</v>
      </c>
      <c r="AE276" s="12">
        <v>1</v>
      </c>
      <c r="AF276" s="12">
        <v>1</v>
      </c>
      <c r="AG276" s="12">
        <v>1</v>
      </c>
    </row>
    <row r="277" spans="1:33">
      <c r="A277" s="8" t="s">
        <v>599</v>
      </c>
      <c r="B277" s="8" t="s">
        <v>600</v>
      </c>
      <c r="C277" s="9" t="s">
        <v>598</v>
      </c>
      <c r="D277" s="9" t="str">
        <f>VLOOKUP(C277,[1]销售对应表!$C:$J,5,0)</f>
        <v>司法行业组</v>
      </c>
      <c r="E277" s="10" t="s">
        <v>36</v>
      </c>
      <c r="F277" s="11">
        <f t="shared" si="4"/>
        <v>11</v>
      </c>
      <c r="G277" s="12">
        <v>1</v>
      </c>
      <c r="H277" s="12">
        <v>1</v>
      </c>
      <c r="I277" s="12">
        <v>0</v>
      </c>
      <c r="J277" s="12">
        <v>1</v>
      </c>
      <c r="K277" s="12">
        <v>0</v>
      </c>
      <c r="L277" s="12">
        <v>0</v>
      </c>
      <c r="M277" s="12">
        <v>1</v>
      </c>
      <c r="N277" s="12">
        <v>0</v>
      </c>
      <c r="O277" s="12">
        <v>0</v>
      </c>
      <c r="P277" s="12">
        <v>0</v>
      </c>
      <c r="Q277" s="12">
        <v>0</v>
      </c>
      <c r="R277" s="12">
        <v>0</v>
      </c>
      <c r="S277" s="12">
        <v>0</v>
      </c>
      <c r="T277" s="12">
        <v>1</v>
      </c>
      <c r="U277" s="12">
        <v>0</v>
      </c>
      <c r="V277" s="12">
        <v>0</v>
      </c>
      <c r="W277" s="12">
        <v>1</v>
      </c>
      <c r="X277" s="12">
        <v>1</v>
      </c>
      <c r="Y277" s="12">
        <v>0</v>
      </c>
      <c r="Z277" s="12">
        <v>1</v>
      </c>
      <c r="AA277" s="12">
        <v>1</v>
      </c>
      <c r="AB277" s="12">
        <v>1</v>
      </c>
      <c r="AC277" s="12">
        <v>0</v>
      </c>
      <c r="AD277" s="12">
        <v>0</v>
      </c>
      <c r="AE277" s="12">
        <v>0</v>
      </c>
      <c r="AF277" s="12">
        <v>1</v>
      </c>
      <c r="AG277" s="12">
        <v>0</v>
      </c>
    </row>
    <row r="278" spans="1:33">
      <c r="A278" s="8" t="s">
        <v>601</v>
      </c>
      <c r="B278" s="8" t="s">
        <v>602</v>
      </c>
      <c r="C278" s="9" t="s">
        <v>598</v>
      </c>
      <c r="D278" s="9" t="str">
        <f>VLOOKUP(C278,[1]销售对应表!$C:$J,5,0)</f>
        <v>司法行业组</v>
      </c>
      <c r="E278" s="10" t="s">
        <v>36</v>
      </c>
      <c r="F278" s="11">
        <f t="shared" si="4"/>
        <v>9</v>
      </c>
      <c r="G278" s="12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1</v>
      </c>
      <c r="Q278" s="12">
        <v>0</v>
      </c>
      <c r="R278" s="12">
        <v>1</v>
      </c>
      <c r="S278" s="12">
        <v>1</v>
      </c>
      <c r="T278" s="12">
        <v>1</v>
      </c>
      <c r="U278" s="12">
        <v>1</v>
      </c>
      <c r="V278" s="12">
        <v>0</v>
      </c>
      <c r="W278" s="12">
        <v>1</v>
      </c>
      <c r="X278" s="12">
        <v>1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1</v>
      </c>
      <c r="AE278" s="12">
        <v>0</v>
      </c>
      <c r="AF278" s="12">
        <v>0</v>
      </c>
      <c r="AG278" s="12">
        <v>0</v>
      </c>
    </row>
    <row r="279" spans="1:33">
      <c r="A279" s="8" t="s">
        <v>603</v>
      </c>
      <c r="B279" s="8" t="s">
        <v>604</v>
      </c>
      <c r="C279" s="9" t="s">
        <v>598</v>
      </c>
      <c r="D279" s="9" t="str">
        <f>VLOOKUP(C279,[1]销售对应表!$C:$J,5,0)</f>
        <v>司法行业组</v>
      </c>
      <c r="E279" s="10" t="s">
        <v>36</v>
      </c>
      <c r="F279" s="11">
        <f t="shared" si="4"/>
        <v>5</v>
      </c>
      <c r="G279" s="12">
        <v>1</v>
      </c>
      <c r="H279" s="12">
        <v>0</v>
      </c>
      <c r="I279" s="12">
        <v>0</v>
      </c>
      <c r="J279" s="12">
        <v>1</v>
      </c>
      <c r="K279" s="12">
        <v>0</v>
      </c>
      <c r="L279" s="12">
        <v>0</v>
      </c>
      <c r="M279" s="12">
        <v>0</v>
      </c>
      <c r="N279" s="12">
        <v>0</v>
      </c>
      <c r="O279" s="12">
        <v>1</v>
      </c>
      <c r="P279" s="12">
        <v>0</v>
      </c>
      <c r="Q279" s="12">
        <v>0</v>
      </c>
      <c r="R279" s="12">
        <v>0</v>
      </c>
      <c r="S279" s="12">
        <v>0</v>
      </c>
      <c r="T279" s="12">
        <v>1</v>
      </c>
      <c r="U279" s="12">
        <v>0</v>
      </c>
      <c r="V279" s="12">
        <v>0</v>
      </c>
      <c r="W279" s="12">
        <v>0</v>
      </c>
      <c r="X279" s="12">
        <v>0</v>
      </c>
      <c r="Y279" s="12">
        <v>0</v>
      </c>
      <c r="Z279" s="12">
        <v>0</v>
      </c>
      <c r="AA279" s="12">
        <v>1</v>
      </c>
      <c r="AB279" s="12">
        <v>0</v>
      </c>
      <c r="AC279" s="12">
        <v>0</v>
      </c>
      <c r="AD279" s="12">
        <v>0</v>
      </c>
      <c r="AE279" s="12">
        <v>0</v>
      </c>
      <c r="AF279" s="12">
        <v>0</v>
      </c>
      <c r="AG279" s="12">
        <v>0</v>
      </c>
    </row>
    <row r="280" spans="1:33">
      <c r="A280" s="8" t="s">
        <v>605</v>
      </c>
      <c r="B280" s="8" t="s">
        <v>606</v>
      </c>
      <c r="C280" s="9" t="s">
        <v>598</v>
      </c>
      <c r="D280" s="9" t="str">
        <f>VLOOKUP(C280,[1]销售对应表!$C:$J,5,0)</f>
        <v>司法行业组</v>
      </c>
      <c r="E280" s="10" t="s">
        <v>41</v>
      </c>
      <c r="F280" s="11">
        <f t="shared" si="4"/>
        <v>5</v>
      </c>
      <c r="G280" s="12">
        <v>0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1</v>
      </c>
      <c r="U280" s="12">
        <v>1</v>
      </c>
      <c r="V280" s="12">
        <v>1</v>
      </c>
      <c r="W280" s="12">
        <v>0</v>
      </c>
      <c r="X280" s="12">
        <v>0</v>
      </c>
      <c r="Y280" s="12">
        <v>0</v>
      </c>
      <c r="Z280" s="12">
        <v>1</v>
      </c>
      <c r="AA280" s="12">
        <v>1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</row>
    <row r="281" spans="1:33">
      <c r="A281" s="8" t="s">
        <v>607</v>
      </c>
      <c r="B281" s="8" t="s">
        <v>608</v>
      </c>
      <c r="C281" s="9" t="s">
        <v>598</v>
      </c>
      <c r="D281" s="9" t="str">
        <f>VLOOKUP(C281,[1]销售对应表!$C:$J,5,0)</f>
        <v>司法行业组</v>
      </c>
      <c r="E281" s="10" t="s">
        <v>41</v>
      </c>
      <c r="F281" s="11">
        <f t="shared" si="4"/>
        <v>4</v>
      </c>
      <c r="G281" s="12">
        <v>1</v>
      </c>
      <c r="H281" s="12">
        <v>1</v>
      </c>
      <c r="I281" s="12">
        <v>0</v>
      </c>
      <c r="J281" s="12">
        <v>0</v>
      </c>
      <c r="K281" s="12">
        <v>0</v>
      </c>
      <c r="L281" s="12">
        <v>0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1</v>
      </c>
      <c r="U281" s="12">
        <v>1</v>
      </c>
      <c r="V281" s="12">
        <v>0</v>
      </c>
      <c r="W281" s="12">
        <v>0</v>
      </c>
      <c r="X281" s="12">
        <v>0</v>
      </c>
      <c r="Y281" s="12">
        <v>0</v>
      </c>
      <c r="Z281" s="12">
        <v>0</v>
      </c>
      <c r="AA281" s="12">
        <v>0</v>
      </c>
      <c r="AB281" s="12">
        <v>0</v>
      </c>
      <c r="AC281" s="12">
        <v>0</v>
      </c>
      <c r="AD281" s="12">
        <v>0</v>
      </c>
      <c r="AE281" s="12">
        <v>0</v>
      </c>
      <c r="AF281" s="12">
        <v>0</v>
      </c>
      <c r="AG281" s="12">
        <v>0</v>
      </c>
    </row>
    <row r="282" spans="1:33">
      <c r="A282" s="8" t="s">
        <v>609</v>
      </c>
      <c r="B282" s="8" t="s">
        <v>610</v>
      </c>
      <c r="C282" s="9" t="s">
        <v>598</v>
      </c>
      <c r="D282" s="9" t="str">
        <f>VLOOKUP(C282,[1]销售对应表!$C:$J,5,0)</f>
        <v>司法行业组</v>
      </c>
      <c r="E282" s="10" t="s">
        <v>36</v>
      </c>
      <c r="F282" s="11">
        <f t="shared" si="4"/>
        <v>4</v>
      </c>
      <c r="G282" s="12">
        <v>0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1</v>
      </c>
      <c r="N282" s="12">
        <v>1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0</v>
      </c>
      <c r="W282" s="12">
        <v>0</v>
      </c>
      <c r="X282" s="12">
        <v>0</v>
      </c>
      <c r="Y282" s="12">
        <v>0</v>
      </c>
      <c r="Z282" s="12">
        <v>1</v>
      </c>
      <c r="AA282" s="12">
        <v>0</v>
      </c>
      <c r="AB282" s="12">
        <v>0</v>
      </c>
      <c r="AC282" s="12">
        <v>0</v>
      </c>
      <c r="AD282" s="12">
        <v>1</v>
      </c>
      <c r="AE282" s="12">
        <v>0</v>
      </c>
      <c r="AF282" s="12">
        <v>0</v>
      </c>
      <c r="AG282" s="12">
        <v>0</v>
      </c>
    </row>
    <row r="283" spans="1:33">
      <c r="A283" s="8" t="s">
        <v>611</v>
      </c>
      <c r="B283" s="8" t="s">
        <v>612</v>
      </c>
      <c r="C283" s="9" t="s">
        <v>598</v>
      </c>
      <c r="D283" s="9" t="str">
        <f>VLOOKUP(C283,[1]销售对应表!$C:$J,5,0)</f>
        <v>司法行业组</v>
      </c>
      <c r="E283" s="10" t="s">
        <v>41</v>
      </c>
      <c r="F283" s="11">
        <f t="shared" si="4"/>
        <v>4</v>
      </c>
      <c r="G283" s="12">
        <v>0</v>
      </c>
      <c r="H283" s="12">
        <v>0</v>
      </c>
      <c r="I283" s="12">
        <v>0</v>
      </c>
      <c r="J283" s="12">
        <v>1</v>
      </c>
      <c r="K283" s="12">
        <v>0</v>
      </c>
      <c r="L283" s="12">
        <v>0</v>
      </c>
      <c r="M283" s="12">
        <v>1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  <c r="X283" s="12">
        <v>1</v>
      </c>
      <c r="Y283" s="12">
        <v>0</v>
      </c>
      <c r="Z283" s="12">
        <v>0</v>
      </c>
      <c r="AA283" s="12">
        <v>1</v>
      </c>
      <c r="AB283" s="12">
        <v>0</v>
      </c>
      <c r="AC283" s="12">
        <v>0</v>
      </c>
      <c r="AD283" s="12">
        <v>0</v>
      </c>
      <c r="AE283" s="12">
        <v>0</v>
      </c>
      <c r="AF283" s="12">
        <v>0</v>
      </c>
      <c r="AG283" s="12">
        <v>0</v>
      </c>
    </row>
    <row r="284" spans="1:33">
      <c r="A284" s="8" t="s">
        <v>613</v>
      </c>
      <c r="B284" s="8" t="s">
        <v>614</v>
      </c>
      <c r="C284" s="9" t="s">
        <v>598</v>
      </c>
      <c r="D284" s="9" t="str">
        <f>VLOOKUP(C284,[1]销售对应表!$C:$J,5,0)</f>
        <v>司法行业组</v>
      </c>
      <c r="E284" s="10" t="s">
        <v>41</v>
      </c>
      <c r="F284" s="11">
        <f t="shared" si="4"/>
        <v>2</v>
      </c>
      <c r="G284" s="12">
        <v>0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12">
        <v>1</v>
      </c>
      <c r="U284" s="12">
        <v>0</v>
      </c>
      <c r="V284" s="12">
        <v>0</v>
      </c>
      <c r="W284" s="12">
        <v>0</v>
      </c>
      <c r="X284" s="12">
        <v>1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</row>
    <row r="285" spans="1:33">
      <c r="A285" s="8" t="s">
        <v>615</v>
      </c>
      <c r="B285" s="8" t="s">
        <v>616</v>
      </c>
      <c r="C285" s="9" t="s">
        <v>598</v>
      </c>
      <c r="D285" s="9" t="str">
        <f>VLOOKUP(C285,[1]销售对应表!$C:$J,5,0)</f>
        <v>司法行业组</v>
      </c>
      <c r="E285" s="10" t="s">
        <v>41</v>
      </c>
      <c r="F285" s="11">
        <f t="shared" si="4"/>
        <v>1</v>
      </c>
      <c r="G285" s="12">
        <v>0</v>
      </c>
      <c r="H285" s="12">
        <v>0</v>
      </c>
      <c r="I285" s="12">
        <v>0</v>
      </c>
      <c r="J285" s="12">
        <v>0</v>
      </c>
      <c r="K285" s="12">
        <v>0</v>
      </c>
      <c r="L285" s="12">
        <v>0</v>
      </c>
      <c r="M285" s="12">
        <v>1</v>
      </c>
      <c r="N285" s="12">
        <v>0</v>
      </c>
      <c r="O285" s="12">
        <v>0</v>
      </c>
      <c r="P285" s="12">
        <v>0</v>
      </c>
      <c r="Q285" s="12">
        <v>0</v>
      </c>
      <c r="R285" s="12">
        <v>0</v>
      </c>
      <c r="S285" s="12">
        <v>0</v>
      </c>
      <c r="T285" s="12">
        <v>0</v>
      </c>
      <c r="U285" s="12">
        <v>0</v>
      </c>
      <c r="V285" s="12">
        <v>0</v>
      </c>
      <c r="W285" s="12">
        <v>0</v>
      </c>
      <c r="X285" s="12">
        <v>0</v>
      </c>
      <c r="Y285" s="12">
        <v>0</v>
      </c>
      <c r="Z285" s="12">
        <v>0</v>
      </c>
      <c r="AA285" s="12">
        <v>0</v>
      </c>
      <c r="AB285" s="12">
        <v>0</v>
      </c>
      <c r="AC285" s="12">
        <v>0</v>
      </c>
      <c r="AD285" s="12">
        <v>0</v>
      </c>
      <c r="AE285" s="12">
        <v>0</v>
      </c>
      <c r="AF285" s="12">
        <v>0</v>
      </c>
      <c r="AG285" s="12">
        <v>0</v>
      </c>
    </row>
    <row r="286" spans="1:33">
      <c r="A286" s="8" t="s">
        <v>617</v>
      </c>
      <c r="B286" s="8" t="s">
        <v>618</v>
      </c>
      <c r="C286" s="9" t="s">
        <v>598</v>
      </c>
      <c r="D286" s="9" t="str">
        <f>VLOOKUP(C286,[1]销售对应表!$C:$J,5,0)</f>
        <v>司法行业组</v>
      </c>
      <c r="E286" s="10" t="s">
        <v>41</v>
      </c>
      <c r="F286" s="11">
        <f t="shared" si="4"/>
        <v>1</v>
      </c>
      <c r="G286" s="12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12">
        <v>0</v>
      </c>
      <c r="U286" s="12">
        <v>0</v>
      </c>
      <c r="V286" s="12">
        <v>0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</row>
    <row r="287" spans="1:33">
      <c r="A287" s="8" t="s">
        <v>619</v>
      </c>
      <c r="B287" s="8" t="s">
        <v>620</v>
      </c>
      <c r="C287" s="9" t="s">
        <v>598</v>
      </c>
      <c r="D287" s="9" t="str">
        <f>VLOOKUP(C287,[1]销售对应表!$C:$J,5,0)</f>
        <v>司法行业组</v>
      </c>
      <c r="E287" s="10" t="s">
        <v>41</v>
      </c>
      <c r="F287" s="11">
        <f t="shared" si="4"/>
        <v>1</v>
      </c>
      <c r="G287" s="12">
        <v>0</v>
      </c>
      <c r="H287" s="12">
        <v>0</v>
      </c>
      <c r="I287" s="12">
        <v>0</v>
      </c>
      <c r="J287" s="12">
        <v>0</v>
      </c>
      <c r="K287" s="12">
        <v>0</v>
      </c>
      <c r="L287" s="12">
        <v>0</v>
      </c>
      <c r="M287" s="12">
        <v>0</v>
      </c>
      <c r="N287" s="12">
        <v>0</v>
      </c>
      <c r="O287" s="12">
        <v>0</v>
      </c>
      <c r="P287" s="12">
        <v>0</v>
      </c>
      <c r="Q287" s="12">
        <v>0</v>
      </c>
      <c r="R287" s="12">
        <v>0</v>
      </c>
      <c r="S287" s="12">
        <v>0</v>
      </c>
      <c r="T287" s="12">
        <v>0</v>
      </c>
      <c r="U287" s="12">
        <v>1</v>
      </c>
      <c r="V287" s="12">
        <v>0</v>
      </c>
      <c r="W287" s="12">
        <v>0</v>
      </c>
      <c r="X287" s="12">
        <v>0</v>
      </c>
      <c r="Y287" s="12">
        <v>0</v>
      </c>
      <c r="Z287" s="12">
        <v>0</v>
      </c>
      <c r="AA287" s="12">
        <v>0</v>
      </c>
      <c r="AB287" s="12">
        <v>0</v>
      </c>
      <c r="AC287" s="12">
        <v>0</v>
      </c>
      <c r="AD287" s="12">
        <v>0</v>
      </c>
      <c r="AE287" s="12">
        <v>0</v>
      </c>
      <c r="AF287" s="12">
        <v>0</v>
      </c>
      <c r="AG287" s="12">
        <v>0</v>
      </c>
    </row>
    <row r="288" spans="1:33">
      <c r="A288" s="8" t="s">
        <v>621</v>
      </c>
      <c r="B288" s="8" t="s">
        <v>622</v>
      </c>
      <c r="C288" s="9" t="s">
        <v>598</v>
      </c>
      <c r="D288" s="9" t="str">
        <f>VLOOKUP(C288,[1]销售对应表!$C:$J,5,0)</f>
        <v>司法行业组</v>
      </c>
      <c r="E288" s="10" t="s">
        <v>41</v>
      </c>
      <c r="F288" s="11">
        <f t="shared" si="4"/>
        <v>1</v>
      </c>
      <c r="G288" s="12">
        <v>0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2">
        <v>0</v>
      </c>
      <c r="V288" s="12">
        <v>0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1</v>
      </c>
      <c r="AE288" s="12">
        <v>0</v>
      </c>
      <c r="AF288" s="12">
        <v>0</v>
      </c>
      <c r="AG288" s="12">
        <v>0</v>
      </c>
    </row>
    <row r="289" spans="1:33">
      <c r="A289" s="8" t="s">
        <v>623</v>
      </c>
      <c r="B289" s="8" t="s">
        <v>624</v>
      </c>
      <c r="C289" s="9" t="s">
        <v>598</v>
      </c>
      <c r="D289" s="9" t="str">
        <f>VLOOKUP(C289,[1]销售对应表!$C:$J,5,0)</f>
        <v>司法行业组</v>
      </c>
      <c r="E289" s="10" t="s">
        <v>41</v>
      </c>
      <c r="F289" s="11">
        <f t="shared" si="4"/>
        <v>1</v>
      </c>
      <c r="G289" s="12">
        <v>0</v>
      </c>
      <c r="H289" s="12">
        <v>0</v>
      </c>
      <c r="I289" s="12">
        <v>0</v>
      </c>
      <c r="J289" s="12">
        <v>0</v>
      </c>
      <c r="K289" s="12">
        <v>0</v>
      </c>
      <c r="L289" s="12">
        <v>0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0</v>
      </c>
      <c r="V289" s="12">
        <v>0</v>
      </c>
      <c r="W289" s="12">
        <v>1</v>
      </c>
      <c r="X289" s="12">
        <v>0</v>
      </c>
      <c r="Y289" s="12">
        <v>0</v>
      </c>
      <c r="Z289" s="12">
        <v>0</v>
      </c>
      <c r="AA289" s="12">
        <v>0</v>
      </c>
      <c r="AB289" s="12">
        <v>0</v>
      </c>
      <c r="AC289" s="12">
        <v>0</v>
      </c>
      <c r="AD289" s="12">
        <v>0</v>
      </c>
      <c r="AE289" s="12">
        <v>0</v>
      </c>
      <c r="AF289" s="12">
        <v>0</v>
      </c>
      <c r="AG289" s="12">
        <v>0</v>
      </c>
    </row>
    <row r="290" spans="1:33">
      <c r="A290" s="8" t="s">
        <v>625</v>
      </c>
      <c r="B290" s="8" t="s">
        <v>626</v>
      </c>
      <c r="C290" s="9" t="s">
        <v>598</v>
      </c>
      <c r="D290" s="9" t="str">
        <f>VLOOKUP(C290,[1]销售对应表!$C:$J,5,0)</f>
        <v>司法行业组</v>
      </c>
      <c r="E290" s="10" t="s">
        <v>41</v>
      </c>
      <c r="F290" s="11">
        <f t="shared" si="4"/>
        <v>0</v>
      </c>
      <c r="G290" s="12">
        <v>0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0</v>
      </c>
      <c r="V290" s="12">
        <v>0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</row>
    <row r="291" spans="1:33">
      <c r="A291" s="8" t="s">
        <v>627</v>
      </c>
      <c r="B291" s="8" t="s">
        <v>628</v>
      </c>
      <c r="C291" s="9" t="s">
        <v>598</v>
      </c>
      <c r="D291" s="9" t="str">
        <f>VLOOKUP(C291,[1]销售对应表!$C:$J,5,0)</f>
        <v>司法行业组</v>
      </c>
      <c r="E291" s="10" t="s">
        <v>41</v>
      </c>
      <c r="F291" s="11">
        <f t="shared" si="4"/>
        <v>1</v>
      </c>
      <c r="G291" s="12">
        <v>0</v>
      </c>
      <c r="H291" s="12">
        <v>0</v>
      </c>
      <c r="I291" s="12">
        <v>0</v>
      </c>
      <c r="J291" s="12">
        <v>0</v>
      </c>
      <c r="K291" s="12">
        <v>0</v>
      </c>
      <c r="L291" s="12">
        <v>0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1</v>
      </c>
      <c r="U291" s="12">
        <v>0</v>
      </c>
      <c r="V291" s="12">
        <v>0</v>
      </c>
      <c r="W291" s="12">
        <v>0</v>
      </c>
      <c r="X291" s="12">
        <v>0</v>
      </c>
      <c r="Y291" s="12">
        <v>0</v>
      </c>
      <c r="Z291" s="12">
        <v>0</v>
      </c>
      <c r="AA291" s="12">
        <v>0</v>
      </c>
      <c r="AB291" s="12">
        <v>0</v>
      </c>
      <c r="AC291" s="12">
        <v>0</v>
      </c>
      <c r="AD291" s="12">
        <v>0</v>
      </c>
      <c r="AE291" s="12">
        <v>0</v>
      </c>
      <c r="AF291" s="12">
        <v>0</v>
      </c>
      <c r="AG291" s="12">
        <v>0</v>
      </c>
    </row>
    <row r="292" spans="1:33">
      <c r="A292" s="8" t="s">
        <v>629</v>
      </c>
      <c r="B292" s="8" t="s">
        <v>630</v>
      </c>
      <c r="C292" s="9" t="s">
        <v>631</v>
      </c>
      <c r="D292" s="9" t="str">
        <f>VLOOKUP(C292,[1]销售对应表!$C:$J,5,0)</f>
        <v>交通行业组</v>
      </c>
      <c r="E292" s="10" t="s">
        <v>36</v>
      </c>
      <c r="F292" s="11">
        <f t="shared" si="4"/>
        <v>7</v>
      </c>
      <c r="G292" s="12">
        <v>1</v>
      </c>
      <c r="H292" s="12">
        <v>1</v>
      </c>
      <c r="I292" s="12">
        <v>0</v>
      </c>
      <c r="J292" s="12">
        <v>0</v>
      </c>
      <c r="K292" s="12">
        <v>0</v>
      </c>
      <c r="L292" s="12">
        <v>0</v>
      </c>
      <c r="M292" s="12">
        <v>1</v>
      </c>
      <c r="N292" s="12">
        <v>0</v>
      </c>
      <c r="O292" s="12">
        <v>1</v>
      </c>
      <c r="P292" s="12">
        <v>1</v>
      </c>
      <c r="Q292" s="12">
        <v>0</v>
      </c>
      <c r="R292" s="12">
        <v>0</v>
      </c>
      <c r="S292" s="12">
        <v>1</v>
      </c>
      <c r="T292" s="12">
        <v>1</v>
      </c>
      <c r="U292" s="12">
        <v>0</v>
      </c>
      <c r="V292" s="12">
        <v>0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</row>
    <row r="293" spans="1:33">
      <c r="A293" s="8" t="s">
        <v>632</v>
      </c>
      <c r="B293" s="8" t="s">
        <v>633</v>
      </c>
      <c r="C293" s="9" t="s">
        <v>631</v>
      </c>
      <c r="D293" s="9" t="str">
        <f>VLOOKUP(C293,[1]销售对应表!$C:$J,5,0)</f>
        <v>交通行业组</v>
      </c>
      <c r="E293" s="10" t="s">
        <v>36</v>
      </c>
      <c r="F293" s="11">
        <f t="shared" si="4"/>
        <v>7</v>
      </c>
      <c r="G293" s="12">
        <v>1</v>
      </c>
      <c r="H293" s="12">
        <v>0</v>
      </c>
      <c r="I293" s="12">
        <v>0</v>
      </c>
      <c r="J293" s="12">
        <v>0</v>
      </c>
      <c r="K293" s="12">
        <v>0</v>
      </c>
      <c r="L293" s="12">
        <v>0</v>
      </c>
      <c r="M293" s="12">
        <v>0</v>
      </c>
      <c r="N293" s="12">
        <v>0</v>
      </c>
      <c r="O293" s="12">
        <v>0</v>
      </c>
      <c r="P293" s="12">
        <v>0</v>
      </c>
      <c r="Q293" s="12">
        <v>0</v>
      </c>
      <c r="R293" s="12">
        <v>0</v>
      </c>
      <c r="S293" s="12">
        <v>0</v>
      </c>
      <c r="T293" s="12">
        <v>0</v>
      </c>
      <c r="U293" s="12">
        <v>0</v>
      </c>
      <c r="V293" s="12">
        <v>0</v>
      </c>
      <c r="W293" s="12">
        <v>0</v>
      </c>
      <c r="X293" s="12">
        <v>1</v>
      </c>
      <c r="Y293" s="12">
        <v>0</v>
      </c>
      <c r="Z293" s="12">
        <v>0</v>
      </c>
      <c r="AA293" s="12">
        <v>1</v>
      </c>
      <c r="AB293" s="12">
        <v>0</v>
      </c>
      <c r="AC293" s="12">
        <v>1</v>
      </c>
      <c r="AD293" s="12">
        <v>1</v>
      </c>
      <c r="AE293" s="12">
        <v>1</v>
      </c>
      <c r="AF293" s="12">
        <v>0</v>
      </c>
      <c r="AG293" s="12">
        <v>1</v>
      </c>
    </row>
    <row r="294" spans="1:33">
      <c r="A294" s="8" t="s">
        <v>634</v>
      </c>
      <c r="B294" s="8" t="s">
        <v>635</v>
      </c>
      <c r="C294" s="9" t="s">
        <v>631</v>
      </c>
      <c r="D294" s="9" t="str">
        <f>VLOOKUP(C294,[1]销售对应表!$C:$J,5,0)</f>
        <v>交通行业组</v>
      </c>
      <c r="E294" s="10" t="s">
        <v>36</v>
      </c>
      <c r="F294" s="11">
        <f t="shared" si="4"/>
        <v>5</v>
      </c>
      <c r="G294" s="12">
        <v>1</v>
      </c>
      <c r="H294" s="12">
        <v>1</v>
      </c>
      <c r="I294" s="12">
        <v>1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  <c r="U294" s="12">
        <v>0</v>
      </c>
      <c r="V294" s="12">
        <v>0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1</v>
      </c>
      <c r="AC294" s="12">
        <v>0</v>
      </c>
      <c r="AD294" s="12">
        <v>0</v>
      </c>
      <c r="AE294" s="12">
        <v>0</v>
      </c>
      <c r="AF294" s="12">
        <v>0</v>
      </c>
      <c r="AG294" s="12">
        <v>1</v>
      </c>
    </row>
    <row r="295" spans="1:33">
      <c r="A295" s="8" t="s">
        <v>636</v>
      </c>
      <c r="B295" s="8" t="s">
        <v>637</v>
      </c>
      <c r="C295" s="9" t="s">
        <v>631</v>
      </c>
      <c r="D295" s="9" t="str">
        <f>VLOOKUP(C295,[1]销售对应表!$C:$J,5,0)</f>
        <v>交通行业组</v>
      </c>
      <c r="E295" s="10" t="s">
        <v>41</v>
      </c>
      <c r="F295" s="11">
        <f t="shared" si="4"/>
        <v>5</v>
      </c>
      <c r="G295" s="12">
        <v>0</v>
      </c>
      <c r="H295" s="12">
        <v>1</v>
      </c>
      <c r="I295" s="12">
        <v>0</v>
      </c>
      <c r="J295" s="12">
        <v>0</v>
      </c>
      <c r="K295" s="12">
        <v>0</v>
      </c>
      <c r="L295" s="12">
        <v>0</v>
      </c>
      <c r="M295" s="12">
        <v>0</v>
      </c>
      <c r="N295" s="12">
        <v>0</v>
      </c>
      <c r="O295" s="12">
        <v>0</v>
      </c>
      <c r="P295" s="12">
        <v>0</v>
      </c>
      <c r="Q295" s="12">
        <v>0</v>
      </c>
      <c r="R295" s="12">
        <v>0</v>
      </c>
      <c r="S295" s="12">
        <v>1</v>
      </c>
      <c r="T295" s="12">
        <v>0</v>
      </c>
      <c r="U295" s="12">
        <v>0</v>
      </c>
      <c r="V295" s="12">
        <v>0</v>
      </c>
      <c r="W295" s="12">
        <v>0</v>
      </c>
      <c r="X295" s="12">
        <v>0</v>
      </c>
      <c r="Y295" s="12">
        <v>0</v>
      </c>
      <c r="Z295" s="12">
        <v>0</v>
      </c>
      <c r="AA295" s="12">
        <v>1</v>
      </c>
      <c r="AB295" s="12">
        <v>1</v>
      </c>
      <c r="AC295" s="12">
        <v>0</v>
      </c>
      <c r="AD295" s="12">
        <v>1</v>
      </c>
      <c r="AE295" s="12">
        <v>0</v>
      </c>
      <c r="AF295" s="12">
        <v>0</v>
      </c>
      <c r="AG295" s="12">
        <v>0</v>
      </c>
    </row>
    <row r="296" spans="1:33">
      <c r="A296" s="8" t="s">
        <v>638</v>
      </c>
      <c r="B296" s="8" t="s">
        <v>639</v>
      </c>
      <c r="C296" s="9" t="s">
        <v>631</v>
      </c>
      <c r="D296" s="9" t="str">
        <f>VLOOKUP(C296,[1]销售对应表!$C:$J,5,0)</f>
        <v>交通行业组</v>
      </c>
      <c r="E296" s="10" t="s">
        <v>36</v>
      </c>
      <c r="F296" s="11">
        <f t="shared" si="4"/>
        <v>3</v>
      </c>
      <c r="G296" s="12">
        <v>0</v>
      </c>
      <c r="H296" s="12">
        <v>1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12">
        <v>0</v>
      </c>
      <c r="U296" s="12">
        <v>0</v>
      </c>
      <c r="V296" s="12">
        <v>0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1</v>
      </c>
      <c r="AC296" s="12">
        <v>0</v>
      </c>
      <c r="AD296" s="12">
        <v>0</v>
      </c>
      <c r="AE296" s="12">
        <v>0</v>
      </c>
      <c r="AF296" s="12">
        <v>0</v>
      </c>
      <c r="AG296" s="12">
        <v>1</v>
      </c>
    </row>
    <row r="297" spans="1:33">
      <c r="A297" s="8" t="s">
        <v>640</v>
      </c>
      <c r="B297" s="8" t="s">
        <v>641</v>
      </c>
      <c r="C297" s="9" t="s">
        <v>631</v>
      </c>
      <c r="D297" s="9" t="str">
        <f>VLOOKUP(C297,[1]销售对应表!$C:$J,5,0)</f>
        <v>交通行业组</v>
      </c>
      <c r="E297" s="10" t="s">
        <v>36</v>
      </c>
      <c r="F297" s="11">
        <f t="shared" si="4"/>
        <v>3</v>
      </c>
      <c r="G297" s="12">
        <v>0</v>
      </c>
      <c r="H297" s="12">
        <v>1</v>
      </c>
      <c r="I297" s="12">
        <v>0</v>
      </c>
      <c r="J297" s="12">
        <v>0</v>
      </c>
      <c r="K297" s="12">
        <v>0</v>
      </c>
      <c r="L297" s="12">
        <v>0</v>
      </c>
      <c r="M297" s="12">
        <v>0</v>
      </c>
      <c r="N297" s="12">
        <v>0</v>
      </c>
      <c r="O297" s="12">
        <v>0</v>
      </c>
      <c r="P297" s="12">
        <v>0</v>
      </c>
      <c r="Q297" s="12">
        <v>0</v>
      </c>
      <c r="R297" s="12">
        <v>0</v>
      </c>
      <c r="S297" s="12">
        <v>1</v>
      </c>
      <c r="T297" s="12">
        <v>0</v>
      </c>
      <c r="U297" s="12">
        <v>0</v>
      </c>
      <c r="V297" s="12">
        <v>0</v>
      </c>
      <c r="W297" s="12">
        <v>0</v>
      </c>
      <c r="X297" s="12">
        <v>0</v>
      </c>
      <c r="Y297" s="12">
        <v>0</v>
      </c>
      <c r="Z297" s="12">
        <v>0</v>
      </c>
      <c r="AA297" s="12">
        <v>0</v>
      </c>
      <c r="AB297" s="12">
        <v>0</v>
      </c>
      <c r="AC297" s="12">
        <v>0</v>
      </c>
      <c r="AD297" s="12">
        <v>1</v>
      </c>
      <c r="AE297" s="12">
        <v>0</v>
      </c>
      <c r="AF297" s="12">
        <v>0</v>
      </c>
      <c r="AG297" s="12">
        <v>0</v>
      </c>
    </row>
    <row r="298" spans="1:33">
      <c r="A298" s="8" t="s">
        <v>642</v>
      </c>
      <c r="B298" s="8" t="s">
        <v>643</v>
      </c>
      <c r="C298" s="9" t="s">
        <v>631</v>
      </c>
      <c r="D298" s="9" t="str">
        <f>VLOOKUP(C298,[1]销售对应表!$C:$J,5,0)</f>
        <v>交通行业组</v>
      </c>
      <c r="E298" s="10" t="s">
        <v>41</v>
      </c>
      <c r="F298" s="11">
        <f t="shared" si="4"/>
        <v>3</v>
      </c>
      <c r="G298" s="12">
        <v>1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1</v>
      </c>
      <c r="R298" s="12">
        <v>0</v>
      </c>
      <c r="S298" s="12">
        <v>1</v>
      </c>
      <c r="T298" s="12">
        <v>0</v>
      </c>
      <c r="U298" s="12">
        <v>0</v>
      </c>
      <c r="V298" s="12">
        <v>0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</row>
    <row r="299" spans="1:33">
      <c r="A299" s="8" t="s">
        <v>644</v>
      </c>
      <c r="B299" s="8" t="s">
        <v>645</v>
      </c>
      <c r="C299" s="9" t="s">
        <v>631</v>
      </c>
      <c r="D299" s="9" t="str">
        <f>VLOOKUP(C299,[1]销售对应表!$C:$J,5,0)</f>
        <v>交通行业组</v>
      </c>
      <c r="E299" s="10" t="s">
        <v>36</v>
      </c>
      <c r="F299" s="11">
        <f t="shared" si="4"/>
        <v>2</v>
      </c>
      <c r="G299" s="12">
        <v>0</v>
      </c>
      <c r="H299" s="12">
        <v>0</v>
      </c>
      <c r="I299" s="12">
        <v>0</v>
      </c>
      <c r="J299" s="12">
        <v>0</v>
      </c>
      <c r="K299" s="12">
        <v>0</v>
      </c>
      <c r="L299" s="12">
        <v>0</v>
      </c>
      <c r="M299" s="12">
        <v>1</v>
      </c>
      <c r="N299" s="12">
        <v>0</v>
      </c>
      <c r="O299" s="12">
        <v>0</v>
      </c>
      <c r="P299" s="12">
        <v>0</v>
      </c>
      <c r="Q299" s="12">
        <v>0</v>
      </c>
      <c r="R299" s="12">
        <v>0</v>
      </c>
      <c r="S299" s="12">
        <v>0</v>
      </c>
      <c r="T299" s="12">
        <v>0</v>
      </c>
      <c r="U299" s="12">
        <v>0</v>
      </c>
      <c r="V299" s="12">
        <v>0</v>
      </c>
      <c r="W299" s="12">
        <v>0</v>
      </c>
      <c r="X299" s="12">
        <v>0</v>
      </c>
      <c r="Y299" s="12">
        <v>0</v>
      </c>
      <c r="Z299" s="12">
        <v>0</v>
      </c>
      <c r="AA299" s="12">
        <v>0</v>
      </c>
      <c r="AB299" s="12">
        <v>0</v>
      </c>
      <c r="AC299" s="12">
        <v>0</v>
      </c>
      <c r="AD299" s="12">
        <v>1</v>
      </c>
      <c r="AE299" s="12">
        <v>0</v>
      </c>
      <c r="AF299" s="12">
        <v>0</v>
      </c>
      <c r="AG299" s="12">
        <v>0</v>
      </c>
    </row>
    <row r="300" spans="1:33">
      <c r="A300" s="8" t="s">
        <v>646</v>
      </c>
      <c r="B300" s="8" t="s">
        <v>647</v>
      </c>
      <c r="C300" s="9" t="s">
        <v>631</v>
      </c>
      <c r="D300" s="9" t="str">
        <f>VLOOKUP(C300,[1]销售对应表!$C:$J,5,0)</f>
        <v>交通行业组</v>
      </c>
      <c r="E300" s="10" t="s">
        <v>36</v>
      </c>
      <c r="F300" s="11">
        <f t="shared" si="4"/>
        <v>2</v>
      </c>
      <c r="G300" s="12">
        <v>0</v>
      </c>
      <c r="H300" s="12">
        <v>1</v>
      </c>
      <c r="I300" s="12">
        <v>1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12">
        <v>0</v>
      </c>
      <c r="U300" s="12">
        <v>0</v>
      </c>
      <c r="V300" s="12">
        <v>0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</row>
    <row r="301" spans="1:33">
      <c r="A301" s="8" t="s">
        <v>648</v>
      </c>
      <c r="B301" s="8" t="s">
        <v>649</v>
      </c>
      <c r="C301" s="9" t="s">
        <v>631</v>
      </c>
      <c r="D301" s="9" t="str">
        <f>VLOOKUP(C301,[1]销售对应表!$C:$J,5,0)</f>
        <v>交通行业组</v>
      </c>
      <c r="E301" s="10" t="s">
        <v>36</v>
      </c>
      <c r="F301" s="11">
        <f t="shared" si="4"/>
        <v>1</v>
      </c>
      <c r="G301" s="12">
        <v>0</v>
      </c>
      <c r="H301" s="12">
        <v>0</v>
      </c>
      <c r="I301" s="12">
        <v>0</v>
      </c>
      <c r="J301" s="12">
        <v>0</v>
      </c>
      <c r="K301" s="12">
        <v>0</v>
      </c>
      <c r="L301" s="12">
        <v>0</v>
      </c>
      <c r="M301" s="12">
        <v>1</v>
      </c>
      <c r="N301" s="12">
        <v>0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  <c r="U301" s="12">
        <v>0</v>
      </c>
      <c r="V301" s="12">
        <v>0</v>
      </c>
      <c r="W301" s="12">
        <v>0</v>
      </c>
      <c r="X301" s="12">
        <v>0</v>
      </c>
      <c r="Y301" s="12">
        <v>0</v>
      </c>
      <c r="Z301" s="12">
        <v>0</v>
      </c>
      <c r="AA301" s="12">
        <v>0</v>
      </c>
      <c r="AB301" s="12">
        <v>0</v>
      </c>
      <c r="AC301" s="12">
        <v>0</v>
      </c>
      <c r="AD301" s="12">
        <v>0</v>
      </c>
      <c r="AE301" s="12">
        <v>0</v>
      </c>
      <c r="AF301" s="12">
        <v>0</v>
      </c>
      <c r="AG301" s="12">
        <v>0</v>
      </c>
    </row>
    <row r="302" spans="1:33">
      <c r="A302" s="8" t="s">
        <v>650</v>
      </c>
      <c r="B302" s="8" t="s">
        <v>651</v>
      </c>
      <c r="C302" s="9" t="s">
        <v>631</v>
      </c>
      <c r="D302" s="9" t="str">
        <f>VLOOKUP(C302,[1]销售对应表!$C:$J,5,0)</f>
        <v>交通行业组</v>
      </c>
      <c r="E302" s="10" t="s">
        <v>41</v>
      </c>
      <c r="F302" s="11">
        <f t="shared" si="4"/>
        <v>2</v>
      </c>
      <c r="G302" s="12">
        <v>0</v>
      </c>
      <c r="H302" s="12">
        <v>1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v>1</v>
      </c>
      <c r="U302" s="12">
        <v>0</v>
      </c>
      <c r="V302" s="12">
        <v>0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</row>
    <row r="303" spans="1:33">
      <c r="A303" s="8" t="s">
        <v>652</v>
      </c>
      <c r="B303" s="8" t="s">
        <v>653</v>
      </c>
      <c r="C303" s="9" t="s">
        <v>631</v>
      </c>
      <c r="D303" s="9" t="str">
        <f>VLOOKUP(C303,[1]销售对应表!$C:$J,5,0)</f>
        <v>交通行业组</v>
      </c>
      <c r="E303" s="10" t="s">
        <v>41</v>
      </c>
      <c r="F303" s="11">
        <f t="shared" si="4"/>
        <v>2</v>
      </c>
      <c r="G303" s="12">
        <v>0</v>
      </c>
      <c r="H303" s="12">
        <v>0</v>
      </c>
      <c r="I303" s="12">
        <v>0</v>
      </c>
      <c r="J303" s="12">
        <v>0</v>
      </c>
      <c r="K303" s="12">
        <v>0</v>
      </c>
      <c r="L303" s="12">
        <v>0</v>
      </c>
      <c r="M303" s="12">
        <v>0</v>
      </c>
      <c r="N303" s="12">
        <v>0</v>
      </c>
      <c r="O303" s="12">
        <v>0</v>
      </c>
      <c r="P303" s="12">
        <v>0</v>
      </c>
      <c r="Q303" s="12">
        <v>1</v>
      </c>
      <c r="R303" s="12">
        <v>0</v>
      </c>
      <c r="S303" s="12">
        <v>0</v>
      </c>
      <c r="T303" s="12">
        <v>1</v>
      </c>
      <c r="U303" s="12">
        <v>0</v>
      </c>
      <c r="V303" s="12">
        <v>0</v>
      </c>
      <c r="W303" s="12">
        <v>0</v>
      </c>
      <c r="X303" s="12">
        <v>0</v>
      </c>
      <c r="Y303" s="12">
        <v>0</v>
      </c>
      <c r="Z303" s="12">
        <v>0</v>
      </c>
      <c r="AA303" s="12">
        <v>0</v>
      </c>
      <c r="AB303" s="12">
        <v>0</v>
      </c>
      <c r="AC303" s="12">
        <v>0</v>
      </c>
      <c r="AD303" s="12">
        <v>0</v>
      </c>
      <c r="AE303" s="12">
        <v>0</v>
      </c>
      <c r="AF303" s="12">
        <v>0</v>
      </c>
      <c r="AG303" s="12">
        <v>0</v>
      </c>
    </row>
    <row r="304" spans="1:33">
      <c r="A304" s="8" t="s">
        <v>654</v>
      </c>
      <c r="B304" s="8" t="s">
        <v>655</v>
      </c>
      <c r="C304" s="9" t="s">
        <v>631</v>
      </c>
      <c r="D304" s="9" t="str">
        <f>VLOOKUP(C304,[1]销售对应表!$C:$J,5,0)</f>
        <v>交通行业组</v>
      </c>
      <c r="E304" s="10" t="s">
        <v>41</v>
      </c>
      <c r="F304" s="11">
        <f t="shared" si="4"/>
        <v>2</v>
      </c>
      <c r="G304" s="12">
        <v>0</v>
      </c>
      <c r="H304" s="12">
        <v>1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12">
        <v>0</v>
      </c>
      <c r="U304" s="12">
        <v>0</v>
      </c>
      <c r="V304" s="12">
        <v>0</v>
      </c>
      <c r="W304" s="12">
        <v>1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</row>
    <row r="305" spans="1:33">
      <c r="A305" s="8" t="s">
        <v>656</v>
      </c>
      <c r="B305" s="8" t="s">
        <v>657</v>
      </c>
      <c r="C305" s="9" t="s">
        <v>631</v>
      </c>
      <c r="D305" s="9" t="str">
        <f>VLOOKUP(C305,[1]销售对应表!$C:$J,5,0)</f>
        <v>交通行业组</v>
      </c>
      <c r="E305" s="10" t="s">
        <v>41</v>
      </c>
      <c r="F305" s="11">
        <f t="shared" si="4"/>
        <v>2</v>
      </c>
      <c r="G305" s="12">
        <v>0</v>
      </c>
      <c r="H305" s="12">
        <v>0</v>
      </c>
      <c r="I305" s="12">
        <v>0</v>
      </c>
      <c r="J305" s="12">
        <v>0</v>
      </c>
      <c r="K305" s="12">
        <v>0</v>
      </c>
      <c r="L305" s="12">
        <v>0</v>
      </c>
      <c r="M305" s="12">
        <v>1</v>
      </c>
      <c r="N305" s="12">
        <v>0</v>
      </c>
      <c r="O305" s="12">
        <v>0</v>
      </c>
      <c r="P305" s="12">
        <v>0</v>
      </c>
      <c r="Q305" s="12">
        <v>0</v>
      </c>
      <c r="R305" s="12">
        <v>0</v>
      </c>
      <c r="S305" s="12">
        <v>0</v>
      </c>
      <c r="T305" s="12">
        <v>0</v>
      </c>
      <c r="U305" s="12">
        <v>0</v>
      </c>
      <c r="V305" s="12">
        <v>0</v>
      </c>
      <c r="W305" s="12">
        <v>0</v>
      </c>
      <c r="X305" s="12">
        <v>0</v>
      </c>
      <c r="Y305" s="12">
        <v>0</v>
      </c>
      <c r="Z305" s="12">
        <v>0</v>
      </c>
      <c r="AA305" s="12">
        <v>0</v>
      </c>
      <c r="AB305" s="12">
        <v>0</v>
      </c>
      <c r="AC305" s="12">
        <v>0</v>
      </c>
      <c r="AD305" s="12">
        <v>0</v>
      </c>
      <c r="AE305" s="12">
        <v>1</v>
      </c>
      <c r="AF305" s="12">
        <v>0</v>
      </c>
      <c r="AG305" s="12">
        <v>0</v>
      </c>
    </row>
    <row r="306" spans="1:33">
      <c r="A306" s="8" t="s">
        <v>658</v>
      </c>
      <c r="B306" s="8" t="s">
        <v>659</v>
      </c>
      <c r="C306" s="9" t="s">
        <v>631</v>
      </c>
      <c r="D306" s="9" t="str">
        <f>VLOOKUP(C306,[1]销售对应表!$C:$J,5,0)</f>
        <v>交通行业组</v>
      </c>
      <c r="E306" s="10" t="s">
        <v>41</v>
      </c>
      <c r="F306" s="11">
        <f t="shared" si="4"/>
        <v>1</v>
      </c>
      <c r="G306" s="12">
        <v>0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1</v>
      </c>
      <c r="R306" s="12">
        <v>0</v>
      </c>
      <c r="S306" s="12">
        <v>0</v>
      </c>
      <c r="T306" s="12">
        <v>0</v>
      </c>
      <c r="U306" s="12">
        <v>0</v>
      </c>
      <c r="V306" s="12">
        <v>0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</row>
    <row r="307" spans="1:33">
      <c r="A307" s="8" t="s">
        <v>660</v>
      </c>
      <c r="B307" s="8" t="s">
        <v>661</v>
      </c>
      <c r="C307" s="9" t="s">
        <v>631</v>
      </c>
      <c r="D307" s="9" t="str">
        <f>VLOOKUP(C307,[1]销售对应表!$C:$J,5,0)</f>
        <v>交通行业组</v>
      </c>
      <c r="E307" s="10" t="s">
        <v>36</v>
      </c>
      <c r="F307" s="11">
        <f t="shared" si="4"/>
        <v>1</v>
      </c>
      <c r="G307" s="12">
        <v>0</v>
      </c>
      <c r="H307" s="12">
        <v>1</v>
      </c>
      <c r="I307" s="12">
        <v>0</v>
      </c>
      <c r="J307" s="12">
        <v>0</v>
      </c>
      <c r="K307" s="12">
        <v>0</v>
      </c>
      <c r="L307" s="12">
        <v>0</v>
      </c>
      <c r="M307" s="12">
        <v>0</v>
      </c>
      <c r="N307" s="12">
        <v>0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v>0</v>
      </c>
      <c r="U307" s="12">
        <v>0</v>
      </c>
      <c r="V307" s="12">
        <v>0</v>
      </c>
      <c r="W307" s="12">
        <v>0</v>
      </c>
      <c r="X307" s="12">
        <v>0</v>
      </c>
      <c r="Y307" s="12">
        <v>0</v>
      </c>
      <c r="Z307" s="12">
        <v>0</v>
      </c>
      <c r="AA307" s="12">
        <v>0</v>
      </c>
      <c r="AB307" s="12">
        <v>0</v>
      </c>
      <c r="AC307" s="12">
        <v>0</v>
      </c>
      <c r="AD307" s="12">
        <v>0</v>
      </c>
      <c r="AE307" s="12">
        <v>0</v>
      </c>
      <c r="AF307" s="12">
        <v>0</v>
      </c>
      <c r="AG307" s="12">
        <v>0</v>
      </c>
    </row>
    <row r="308" spans="1:33">
      <c r="A308" s="8" t="s">
        <v>662</v>
      </c>
      <c r="B308" s="8" t="s">
        <v>663</v>
      </c>
      <c r="C308" s="9" t="s">
        <v>631</v>
      </c>
      <c r="D308" s="9" t="str">
        <f>VLOOKUP(C308,[1]销售对应表!$C:$J,5,0)</f>
        <v>交通行业组</v>
      </c>
      <c r="E308" s="10" t="s">
        <v>41</v>
      </c>
      <c r="F308" s="11">
        <f t="shared" si="4"/>
        <v>1</v>
      </c>
      <c r="G308" s="12">
        <v>0</v>
      </c>
      <c r="H308" s="12">
        <v>1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12">
        <v>0</v>
      </c>
      <c r="U308" s="12">
        <v>0</v>
      </c>
      <c r="V308" s="12">
        <v>0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</row>
    <row r="309" spans="1:33">
      <c r="A309" s="8" t="s">
        <v>664</v>
      </c>
      <c r="B309" s="8" t="s">
        <v>665</v>
      </c>
      <c r="C309" s="9" t="s">
        <v>631</v>
      </c>
      <c r="D309" s="9" t="str">
        <f>VLOOKUP(C309,[1]销售对应表!$C:$J,5,0)</f>
        <v>交通行业组</v>
      </c>
      <c r="E309" s="10" t="s">
        <v>41</v>
      </c>
      <c r="F309" s="11">
        <f t="shared" si="4"/>
        <v>1</v>
      </c>
      <c r="G309" s="12">
        <v>0</v>
      </c>
      <c r="H309" s="12">
        <v>0</v>
      </c>
      <c r="I309" s="12">
        <v>0</v>
      </c>
      <c r="J309" s="12">
        <v>0</v>
      </c>
      <c r="K309" s="12">
        <v>0</v>
      </c>
      <c r="L309" s="12">
        <v>0</v>
      </c>
      <c r="M309" s="12">
        <v>1</v>
      </c>
      <c r="N309" s="12">
        <v>0</v>
      </c>
      <c r="O309" s="12">
        <v>0</v>
      </c>
      <c r="P309" s="12">
        <v>0</v>
      </c>
      <c r="Q309" s="12">
        <v>0</v>
      </c>
      <c r="R309" s="12">
        <v>0</v>
      </c>
      <c r="S309" s="12">
        <v>0</v>
      </c>
      <c r="T309" s="12">
        <v>0</v>
      </c>
      <c r="U309" s="12">
        <v>0</v>
      </c>
      <c r="V309" s="12">
        <v>0</v>
      </c>
      <c r="W309" s="12">
        <v>0</v>
      </c>
      <c r="X309" s="12">
        <v>0</v>
      </c>
      <c r="Y309" s="12">
        <v>0</v>
      </c>
      <c r="Z309" s="12">
        <v>0</v>
      </c>
      <c r="AA309" s="12">
        <v>0</v>
      </c>
      <c r="AB309" s="12">
        <v>0</v>
      </c>
      <c r="AC309" s="12">
        <v>0</v>
      </c>
      <c r="AD309" s="12">
        <v>0</v>
      </c>
      <c r="AE309" s="12">
        <v>0</v>
      </c>
      <c r="AF309" s="12">
        <v>0</v>
      </c>
      <c r="AG309" s="12">
        <v>0</v>
      </c>
    </row>
    <row r="310" spans="1:33">
      <c r="A310" s="8" t="s">
        <v>666</v>
      </c>
      <c r="B310" s="8" t="s">
        <v>667</v>
      </c>
      <c r="C310" s="9" t="s">
        <v>631</v>
      </c>
      <c r="D310" s="9" t="str">
        <f>VLOOKUP(C310,[1]销售对应表!$C:$J,5,0)</f>
        <v>交通行业组</v>
      </c>
      <c r="E310" s="10" t="s">
        <v>41</v>
      </c>
      <c r="F310" s="11">
        <f t="shared" si="4"/>
        <v>1</v>
      </c>
      <c r="G310" s="12">
        <v>0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1</v>
      </c>
      <c r="U310" s="12">
        <v>0</v>
      </c>
      <c r="V310" s="12">
        <v>0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</row>
    <row r="311" spans="1:33">
      <c r="A311" s="8" t="s">
        <v>668</v>
      </c>
      <c r="B311" s="8" t="s">
        <v>669</v>
      </c>
      <c r="C311" s="9" t="s">
        <v>631</v>
      </c>
      <c r="D311" s="9" t="str">
        <f>VLOOKUP(C311,[1]销售对应表!$C:$J,5,0)</f>
        <v>交通行业组</v>
      </c>
      <c r="E311" s="10" t="s">
        <v>41</v>
      </c>
      <c r="F311" s="11">
        <f t="shared" si="4"/>
        <v>0</v>
      </c>
      <c r="G311" s="12">
        <v>0</v>
      </c>
      <c r="H311" s="12">
        <v>0</v>
      </c>
      <c r="I311" s="12">
        <v>0</v>
      </c>
      <c r="J311" s="12">
        <v>0</v>
      </c>
      <c r="K311" s="12">
        <v>0</v>
      </c>
      <c r="L311" s="12">
        <v>0</v>
      </c>
      <c r="M311" s="12">
        <v>0</v>
      </c>
      <c r="N311" s="12">
        <v>0</v>
      </c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  <c r="U311" s="12">
        <v>0</v>
      </c>
      <c r="V311" s="12">
        <v>0</v>
      </c>
      <c r="W311" s="12">
        <v>0</v>
      </c>
      <c r="X311" s="12">
        <v>0</v>
      </c>
      <c r="Y311" s="12">
        <v>0</v>
      </c>
      <c r="Z311" s="12">
        <v>0</v>
      </c>
      <c r="AA311" s="12">
        <v>0</v>
      </c>
      <c r="AB311" s="12">
        <v>0</v>
      </c>
      <c r="AC311" s="12">
        <v>0</v>
      </c>
      <c r="AD311" s="12">
        <v>0</v>
      </c>
      <c r="AE311" s="12">
        <v>0</v>
      </c>
      <c r="AF311" s="12">
        <v>0</v>
      </c>
      <c r="AG311" s="12">
        <v>0</v>
      </c>
    </row>
    <row r="312" spans="1:33">
      <c r="A312" s="8" t="s">
        <v>670</v>
      </c>
      <c r="B312" s="8" t="s">
        <v>671</v>
      </c>
      <c r="C312" s="9" t="s">
        <v>672</v>
      </c>
      <c r="D312" s="9" t="str">
        <f>VLOOKUP(C312,[1]销售对应表!$C:$J,5,0)</f>
        <v>交通行业组</v>
      </c>
      <c r="E312" s="10" t="s">
        <v>36</v>
      </c>
      <c r="F312" s="11">
        <f t="shared" si="4"/>
        <v>8</v>
      </c>
      <c r="G312" s="12">
        <v>1</v>
      </c>
      <c r="H312" s="12">
        <v>1</v>
      </c>
      <c r="I312" s="12">
        <v>0</v>
      </c>
      <c r="J312" s="12">
        <v>0</v>
      </c>
      <c r="K312" s="12">
        <v>0</v>
      </c>
      <c r="L312" s="12">
        <v>1</v>
      </c>
      <c r="M312" s="12">
        <v>1</v>
      </c>
      <c r="N312" s="12">
        <v>0</v>
      </c>
      <c r="O312" s="12">
        <v>0</v>
      </c>
      <c r="P312" s="12">
        <v>1</v>
      </c>
      <c r="Q312" s="12">
        <v>0</v>
      </c>
      <c r="R312" s="12">
        <v>0</v>
      </c>
      <c r="S312" s="12">
        <v>0</v>
      </c>
      <c r="T312" s="12">
        <v>1</v>
      </c>
      <c r="U312" s="12">
        <v>0</v>
      </c>
      <c r="V312" s="12">
        <v>0</v>
      </c>
      <c r="W312" s="12">
        <v>0</v>
      </c>
      <c r="X312" s="12">
        <v>0</v>
      </c>
      <c r="Y312" s="12">
        <v>0</v>
      </c>
      <c r="Z312" s="12">
        <v>0</v>
      </c>
      <c r="AA312" s="12">
        <v>1</v>
      </c>
      <c r="AB312" s="12">
        <v>0</v>
      </c>
      <c r="AC312" s="12">
        <v>0</v>
      </c>
      <c r="AD312" s="12">
        <v>1</v>
      </c>
      <c r="AE312" s="12">
        <v>0</v>
      </c>
      <c r="AF312" s="12">
        <v>0</v>
      </c>
      <c r="AG312" s="12">
        <v>0</v>
      </c>
    </row>
    <row r="313" spans="1:33">
      <c r="A313" s="8" t="s">
        <v>673</v>
      </c>
      <c r="B313" s="8" t="s">
        <v>674</v>
      </c>
      <c r="C313" s="9" t="s">
        <v>672</v>
      </c>
      <c r="D313" s="9" t="str">
        <f>VLOOKUP(C313,[1]销售对应表!$C:$J,5,0)</f>
        <v>交通行业组</v>
      </c>
      <c r="E313" s="10" t="s">
        <v>36</v>
      </c>
      <c r="F313" s="11">
        <f t="shared" si="4"/>
        <v>5</v>
      </c>
      <c r="G313" s="12">
        <v>0</v>
      </c>
      <c r="H313" s="12">
        <v>1</v>
      </c>
      <c r="I313" s="12">
        <v>0</v>
      </c>
      <c r="J313" s="12">
        <v>0</v>
      </c>
      <c r="K313" s="12">
        <v>0</v>
      </c>
      <c r="L313" s="12">
        <v>1</v>
      </c>
      <c r="M313" s="12">
        <v>0</v>
      </c>
      <c r="N313" s="12">
        <v>1</v>
      </c>
      <c r="O313" s="12">
        <v>0</v>
      </c>
      <c r="P313" s="12">
        <v>0</v>
      </c>
      <c r="Q313" s="12">
        <v>0</v>
      </c>
      <c r="R313" s="12">
        <v>1</v>
      </c>
      <c r="S313" s="12">
        <v>0</v>
      </c>
      <c r="T313" s="12">
        <v>1</v>
      </c>
      <c r="U313" s="12">
        <v>0</v>
      </c>
      <c r="V313" s="12">
        <v>0</v>
      </c>
      <c r="W313" s="12">
        <v>0</v>
      </c>
      <c r="X313" s="12">
        <v>0</v>
      </c>
      <c r="Y313" s="12">
        <v>0</v>
      </c>
      <c r="Z313" s="12">
        <v>0</v>
      </c>
      <c r="AA313" s="12">
        <v>0</v>
      </c>
      <c r="AB313" s="12">
        <v>0</v>
      </c>
      <c r="AC313" s="12">
        <v>0</v>
      </c>
      <c r="AD313" s="12">
        <v>0</v>
      </c>
      <c r="AE313" s="12">
        <v>0</v>
      </c>
      <c r="AF313" s="12">
        <v>0</v>
      </c>
      <c r="AG313" s="12">
        <v>0</v>
      </c>
    </row>
    <row r="314" spans="1:33">
      <c r="A314" s="8" t="s">
        <v>675</v>
      </c>
      <c r="B314" s="8" t="s">
        <v>676</v>
      </c>
      <c r="C314" s="9" t="s">
        <v>672</v>
      </c>
      <c r="D314" s="9" t="str">
        <f>VLOOKUP(C314,[1]销售对应表!$C:$J,5,0)</f>
        <v>交通行业组</v>
      </c>
      <c r="E314" s="10" t="s">
        <v>41</v>
      </c>
      <c r="F314" s="11">
        <f t="shared" si="4"/>
        <v>6</v>
      </c>
      <c r="G314" s="12">
        <v>1</v>
      </c>
      <c r="H314" s="12">
        <v>1</v>
      </c>
      <c r="I314" s="12">
        <v>0</v>
      </c>
      <c r="J314" s="12">
        <v>0</v>
      </c>
      <c r="K314" s="12">
        <v>1</v>
      </c>
      <c r="L314" s="12">
        <v>0</v>
      </c>
      <c r="M314" s="12">
        <v>1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1</v>
      </c>
      <c r="U314" s="12">
        <v>0</v>
      </c>
      <c r="V314" s="12">
        <v>0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1</v>
      </c>
      <c r="AG314" s="12">
        <v>0</v>
      </c>
    </row>
    <row r="315" spans="1:33">
      <c r="A315" s="8" t="s">
        <v>677</v>
      </c>
      <c r="B315" s="8" t="s">
        <v>678</v>
      </c>
      <c r="C315" s="9" t="s">
        <v>672</v>
      </c>
      <c r="D315" s="9" t="str">
        <f>VLOOKUP(C315,[1]销售对应表!$C:$J,5,0)</f>
        <v>交通行业组</v>
      </c>
      <c r="E315" s="10" t="s">
        <v>36</v>
      </c>
      <c r="F315" s="11">
        <f t="shared" si="4"/>
        <v>3</v>
      </c>
      <c r="G315" s="12">
        <v>1</v>
      </c>
      <c r="H315" s="12">
        <v>1</v>
      </c>
      <c r="I315" s="12">
        <v>0</v>
      </c>
      <c r="J315" s="12">
        <v>0</v>
      </c>
      <c r="K315" s="12">
        <v>0</v>
      </c>
      <c r="L315" s="12">
        <v>0</v>
      </c>
      <c r="M315" s="12">
        <v>0</v>
      </c>
      <c r="N315" s="12">
        <v>0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v>1</v>
      </c>
      <c r="U315" s="12">
        <v>0</v>
      </c>
      <c r="V315" s="12">
        <v>0</v>
      </c>
      <c r="W315" s="12">
        <v>0</v>
      </c>
      <c r="X315" s="12">
        <v>0</v>
      </c>
      <c r="Y315" s="12">
        <v>0</v>
      </c>
      <c r="Z315" s="12">
        <v>0</v>
      </c>
      <c r="AA315" s="12">
        <v>0</v>
      </c>
      <c r="AB315" s="12">
        <v>0</v>
      </c>
      <c r="AC315" s="12">
        <v>0</v>
      </c>
      <c r="AD315" s="12">
        <v>0</v>
      </c>
      <c r="AE315" s="12">
        <v>0</v>
      </c>
      <c r="AF315" s="12">
        <v>0</v>
      </c>
      <c r="AG315" s="12">
        <v>0</v>
      </c>
    </row>
    <row r="316" spans="1:33">
      <c r="A316" s="8" t="s">
        <v>679</v>
      </c>
      <c r="B316" s="8" t="s">
        <v>680</v>
      </c>
      <c r="C316" s="9" t="s">
        <v>672</v>
      </c>
      <c r="D316" s="9" t="str">
        <f>VLOOKUP(C316,[1]销售对应表!$C:$J,5,0)</f>
        <v>交通行业组</v>
      </c>
      <c r="E316" s="10" t="s">
        <v>36</v>
      </c>
      <c r="F316" s="11">
        <f t="shared" si="4"/>
        <v>3</v>
      </c>
      <c r="G316" s="12">
        <v>0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1</v>
      </c>
      <c r="S316" s="12">
        <v>0</v>
      </c>
      <c r="T316" s="12">
        <v>0</v>
      </c>
      <c r="U316" s="12">
        <v>0</v>
      </c>
      <c r="V316" s="12">
        <v>0</v>
      </c>
      <c r="W316" s="12">
        <v>0</v>
      </c>
      <c r="X316" s="12">
        <v>0</v>
      </c>
      <c r="Y316" s="12">
        <v>0</v>
      </c>
      <c r="Z316" s="12">
        <v>1</v>
      </c>
      <c r="AA316" s="12">
        <v>0</v>
      </c>
      <c r="AB316" s="12">
        <v>0</v>
      </c>
      <c r="AC316" s="12">
        <v>0</v>
      </c>
      <c r="AD316" s="12">
        <v>1</v>
      </c>
      <c r="AE316" s="12">
        <v>0</v>
      </c>
      <c r="AF316" s="12">
        <v>0</v>
      </c>
      <c r="AG316" s="12">
        <v>0</v>
      </c>
    </row>
    <row r="317" spans="1:33">
      <c r="A317" s="8" t="s">
        <v>681</v>
      </c>
      <c r="B317" s="8" t="s">
        <v>682</v>
      </c>
      <c r="C317" s="9" t="s">
        <v>672</v>
      </c>
      <c r="D317" s="9" t="str">
        <f>VLOOKUP(C317,[1]销售对应表!$C:$J,5,0)</f>
        <v>交通行业组</v>
      </c>
      <c r="E317" s="10" t="s">
        <v>36</v>
      </c>
      <c r="F317" s="11">
        <f t="shared" si="4"/>
        <v>3</v>
      </c>
      <c r="G317" s="12">
        <v>1</v>
      </c>
      <c r="H317" s="12">
        <v>0</v>
      </c>
      <c r="I317" s="12">
        <v>0</v>
      </c>
      <c r="J317" s="12">
        <v>0</v>
      </c>
      <c r="K317" s="12">
        <v>0</v>
      </c>
      <c r="L317" s="12">
        <v>0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0</v>
      </c>
      <c r="S317" s="12">
        <v>0</v>
      </c>
      <c r="T317" s="12">
        <v>0</v>
      </c>
      <c r="U317" s="12">
        <v>1</v>
      </c>
      <c r="V317" s="12">
        <v>0</v>
      </c>
      <c r="W317" s="12">
        <v>0</v>
      </c>
      <c r="X317" s="12">
        <v>0</v>
      </c>
      <c r="Y317" s="12">
        <v>0</v>
      </c>
      <c r="Z317" s="12">
        <v>0</v>
      </c>
      <c r="AA317" s="12">
        <v>1</v>
      </c>
      <c r="AB317" s="12">
        <v>0</v>
      </c>
      <c r="AC317" s="12">
        <v>0</v>
      </c>
      <c r="AD317" s="12">
        <v>0</v>
      </c>
      <c r="AE317" s="12">
        <v>0</v>
      </c>
      <c r="AF317" s="12">
        <v>0</v>
      </c>
      <c r="AG317" s="12">
        <v>0</v>
      </c>
    </row>
    <row r="318" spans="1:33">
      <c r="A318" s="8" t="s">
        <v>683</v>
      </c>
      <c r="B318" s="8" t="s">
        <v>684</v>
      </c>
      <c r="C318" s="9" t="s">
        <v>672</v>
      </c>
      <c r="D318" s="9" t="str">
        <f>VLOOKUP(C318,[1]销售对应表!$C:$J,5,0)</f>
        <v>交通行业组</v>
      </c>
      <c r="E318" s="10" t="s">
        <v>41</v>
      </c>
      <c r="F318" s="11">
        <f t="shared" si="4"/>
        <v>2</v>
      </c>
      <c r="G318" s="12">
        <v>0</v>
      </c>
      <c r="H318" s="12">
        <v>0</v>
      </c>
      <c r="I318" s="12">
        <v>0</v>
      </c>
      <c r="J318" s="12">
        <v>0</v>
      </c>
      <c r="K318" s="12">
        <v>0</v>
      </c>
      <c r="L318" s="12">
        <v>1</v>
      </c>
      <c r="M318" s="12">
        <v>1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2">
        <v>0</v>
      </c>
      <c r="U318" s="12">
        <v>0</v>
      </c>
      <c r="V318" s="12">
        <v>0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</row>
    <row r="319" spans="1:33">
      <c r="A319" s="8" t="s">
        <v>685</v>
      </c>
      <c r="B319" s="8" t="s">
        <v>686</v>
      </c>
      <c r="C319" s="9" t="s">
        <v>672</v>
      </c>
      <c r="D319" s="9" t="str">
        <f>VLOOKUP(C319,[1]销售对应表!$C:$J,5,0)</f>
        <v>交通行业组</v>
      </c>
      <c r="E319" s="10" t="s">
        <v>41</v>
      </c>
      <c r="F319" s="11">
        <f t="shared" si="4"/>
        <v>1</v>
      </c>
      <c r="G319" s="12">
        <v>0</v>
      </c>
      <c r="H319" s="12">
        <v>0</v>
      </c>
      <c r="I319" s="12">
        <v>0</v>
      </c>
      <c r="J319" s="12">
        <v>0</v>
      </c>
      <c r="K319" s="12">
        <v>0</v>
      </c>
      <c r="L319" s="12">
        <v>0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1</v>
      </c>
      <c r="S319" s="12">
        <v>0</v>
      </c>
      <c r="T319" s="12">
        <v>0</v>
      </c>
      <c r="U319" s="12">
        <v>0</v>
      </c>
      <c r="V319" s="12">
        <v>0</v>
      </c>
      <c r="W319" s="12">
        <v>0</v>
      </c>
      <c r="X319" s="12">
        <v>0</v>
      </c>
      <c r="Y319" s="12">
        <v>0</v>
      </c>
      <c r="Z319" s="12">
        <v>0</v>
      </c>
      <c r="AA319" s="12">
        <v>0</v>
      </c>
      <c r="AB319" s="12">
        <v>0</v>
      </c>
      <c r="AC319" s="12">
        <v>0</v>
      </c>
      <c r="AD319" s="12">
        <v>0</v>
      </c>
      <c r="AE319" s="12">
        <v>0</v>
      </c>
      <c r="AF319" s="12">
        <v>0</v>
      </c>
      <c r="AG319" s="12">
        <v>0</v>
      </c>
    </row>
    <row r="320" spans="1:33">
      <c r="A320" s="8" t="s">
        <v>687</v>
      </c>
      <c r="B320" s="8" t="s">
        <v>688</v>
      </c>
      <c r="C320" s="9" t="s">
        <v>672</v>
      </c>
      <c r="D320" s="9" t="str">
        <f>VLOOKUP(C320,[1]销售对应表!$C:$J,5,0)</f>
        <v>交通行业组</v>
      </c>
      <c r="E320" s="10" t="s">
        <v>41</v>
      </c>
      <c r="F320" s="11">
        <f t="shared" si="4"/>
        <v>0</v>
      </c>
      <c r="G320" s="12">
        <v>0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12">
        <v>0</v>
      </c>
      <c r="U320" s="12">
        <v>0</v>
      </c>
      <c r="V320" s="12">
        <v>0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</row>
    <row r="321" spans="1:33">
      <c r="A321" s="8" t="s">
        <v>689</v>
      </c>
      <c r="B321" s="8" t="s">
        <v>690</v>
      </c>
      <c r="C321" s="9" t="s">
        <v>672</v>
      </c>
      <c r="D321" s="9" t="str">
        <f>VLOOKUP(C321,[1]销售对应表!$C:$J,5,0)</f>
        <v>交通行业组</v>
      </c>
      <c r="E321" s="10" t="s">
        <v>41</v>
      </c>
      <c r="F321" s="11">
        <f t="shared" si="4"/>
        <v>0</v>
      </c>
      <c r="G321" s="12">
        <v>0</v>
      </c>
      <c r="H321" s="12">
        <v>0</v>
      </c>
      <c r="I321" s="12">
        <v>0</v>
      </c>
      <c r="J321" s="12">
        <v>0</v>
      </c>
      <c r="K321" s="12">
        <v>0</v>
      </c>
      <c r="L321" s="12">
        <v>0</v>
      </c>
      <c r="M321" s="12">
        <v>0</v>
      </c>
      <c r="N321" s="12">
        <v>0</v>
      </c>
      <c r="O321" s="12">
        <v>0</v>
      </c>
      <c r="P321" s="12">
        <v>0</v>
      </c>
      <c r="Q321" s="12">
        <v>0</v>
      </c>
      <c r="R321" s="12">
        <v>0</v>
      </c>
      <c r="S321" s="12">
        <v>0</v>
      </c>
      <c r="T321" s="12">
        <v>0</v>
      </c>
      <c r="U321" s="12">
        <v>0</v>
      </c>
      <c r="V321" s="12">
        <v>0</v>
      </c>
      <c r="W321" s="12">
        <v>0</v>
      </c>
      <c r="X321" s="12">
        <v>0</v>
      </c>
      <c r="Y321" s="12">
        <v>0</v>
      </c>
      <c r="Z321" s="12">
        <v>0</v>
      </c>
      <c r="AA321" s="12">
        <v>0</v>
      </c>
      <c r="AB321" s="12">
        <v>0</v>
      </c>
      <c r="AC321" s="12">
        <v>0</v>
      </c>
      <c r="AD321" s="12">
        <v>0</v>
      </c>
      <c r="AE321" s="12">
        <v>0</v>
      </c>
      <c r="AF321" s="12">
        <v>0</v>
      </c>
      <c r="AG321" s="12">
        <v>0</v>
      </c>
    </row>
    <row r="322" spans="1:33">
      <c r="A322" s="8" t="s">
        <v>691</v>
      </c>
      <c r="B322" s="8" t="s">
        <v>692</v>
      </c>
      <c r="C322" s="9" t="s">
        <v>693</v>
      </c>
      <c r="D322" s="9" t="str">
        <f>VLOOKUP(C322,[1]销售对应表!$C:$J,5,0)</f>
        <v>交通行业组</v>
      </c>
      <c r="E322" s="10" t="s">
        <v>36</v>
      </c>
      <c r="F322" s="11">
        <f t="shared" ref="F322:F384" si="5">SUM(G322:AG322)</f>
        <v>7</v>
      </c>
      <c r="G322" s="12">
        <v>1</v>
      </c>
      <c r="H322" s="12">
        <v>1</v>
      </c>
      <c r="I322" s="12">
        <v>0</v>
      </c>
      <c r="J322" s="12">
        <v>0</v>
      </c>
      <c r="K322" s="12">
        <v>0</v>
      </c>
      <c r="L322" s="12">
        <v>0</v>
      </c>
      <c r="M322" s="12">
        <v>1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1</v>
      </c>
      <c r="T322" s="12">
        <v>1</v>
      </c>
      <c r="U322" s="12">
        <v>0</v>
      </c>
      <c r="V322" s="12">
        <v>0</v>
      </c>
      <c r="W322" s="12">
        <v>0</v>
      </c>
      <c r="X322" s="12">
        <v>1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1</v>
      </c>
      <c r="AE322" s="12">
        <v>0</v>
      </c>
      <c r="AF322" s="12">
        <v>0</v>
      </c>
      <c r="AG322" s="12">
        <v>0</v>
      </c>
    </row>
    <row r="323" spans="1:33">
      <c r="A323" s="8" t="s">
        <v>694</v>
      </c>
      <c r="B323" s="8" t="s">
        <v>695</v>
      </c>
      <c r="C323" s="9" t="s">
        <v>693</v>
      </c>
      <c r="D323" s="9" t="str">
        <f>VLOOKUP(C323,[1]销售对应表!$C:$J,5,0)</f>
        <v>交通行业组</v>
      </c>
      <c r="E323" s="10" t="s">
        <v>41</v>
      </c>
      <c r="F323" s="11">
        <f t="shared" si="5"/>
        <v>5</v>
      </c>
      <c r="G323" s="12">
        <v>1</v>
      </c>
      <c r="H323" s="12">
        <v>1</v>
      </c>
      <c r="I323" s="12">
        <v>0</v>
      </c>
      <c r="J323" s="12">
        <v>0</v>
      </c>
      <c r="K323" s="12">
        <v>0</v>
      </c>
      <c r="L323" s="12">
        <v>0</v>
      </c>
      <c r="M323" s="12">
        <v>1</v>
      </c>
      <c r="N323" s="12">
        <v>0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2">
        <v>1</v>
      </c>
      <c r="U323" s="12">
        <v>0</v>
      </c>
      <c r="V323" s="12">
        <v>0</v>
      </c>
      <c r="W323" s="12">
        <v>0</v>
      </c>
      <c r="X323" s="12">
        <v>0</v>
      </c>
      <c r="Y323" s="12">
        <v>0</v>
      </c>
      <c r="Z323" s="12">
        <v>0</v>
      </c>
      <c r="AA323" s="12">
        <v>0</v>
      </c>
      <c r="AB323" s="12">
        <v>0</v>
      </c>
      <c r="AC323" s="12">
        <v>0</v>
      </c>
      <c r="AD323" s="12">
        <v>0</v>
      </c>
      <c r="AE323" s="12">
        <v>0</v>
      </c>
      <c r="AF323" s="12">
        <v>0</v>
      </c>
      <c r="AG323" s="12">
        <v>1</v>
      </c>
    </row>
    <row r="324" spans="1:33">
      <c r="A324" s="8" t="s">
        <v>696</v>
      </c>
      <c r="B324" s="8" t="s">
        <v>697</v>
      </c>
      <c r="C324" s="9" t="s">
        <v>693</v>
      </c>
      <c r="D324" s="9" t="str">
        <f>VLOOKUP(C324,[1]销售对应表!$C:$J,5,0)</f>
        <v>交通行业组</v>
      </c>
      <c r="E324" s="10" t="s">
        <v>36</v>
      </c>
      <c r="F324" s="11">
        <f t="shared" si="5"/>
        <v>6</v>
      </c>
      <c r="G324" s="12">
        <v>0</v>
      </c>
      <c r="H324" s="12">
        <v>1</v>
      </c>
      <c r="I324" s="12">
        <v>0</v>
      </c>
      <c r="J324" s="12">
        <v>0</v>
      </c>
      <c r="K324" s="12">
        <v>0</v>
      </c>
      <c r="L324" s="12">
        <v>0</v>
      </c>
      <c r="M324" s="12">
        <v>1</v>
      </c>
      <c r="N324" s="12">
        <v>1</v>
      </c>
      <c r="O324" s="12">
        <v>0</v>
      </c>
      <c r="P324" s="12">
        <v>1</v>
      </c>
      <c r="Q324" s="12">
        <v>1</v>
      </c>
      <c r="R324" s="12">
        <v>0</v>
      </c>
      <c r="S324" s="12">
        <v>1</v>
      </c>
      <c r="T324" s="12">
        <v>0</v>
      </c>
      <c r="U324" s="12">
        <v>0</v>
      </c>
      <c r="V324" s="12">
        <v>0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</row>
    <row r="325" spans="1:33">
      <c r="A325" s="8" t="s">
        <v>698</v>
      </c>
      <c r="B325" s="8" t="s">
        <v>699</v>
      </c>
      <c r="C325" s="9" t="s">
        <v>693</v>
      </c>
      <c r="D325" s="9" t="str">
        <f>VLOOKUP(C325,[1]销售对应表!$C:$J,5,0)</f>
        <v>交通行业组</v>
      </c>
      <c r="E325" s="10" t="s">
        <v>36</v>
      </c>
      <c r="F325" s="11">
        <f t="shared" si="5"/>
        <v>5</v>
      </c>
      <c r="G325" s="12">
        <v>0</v>
      </c>
      <c r="H325" s="12">
        <v>1</v>
      </c>
      <c r="I325" s="12">
        <v>0</v>
      </c>
      <c r="J325" s="12">
        <v>0</v>
      </c>
      <c r="K325" s="12">
        <v>0</v>
      </c>
      <c r="L325" s="12">
        <v>0</v>
      </c>
      <c r="M325" s="12">
        <v>0</v>
      </c>
      <c r="N325" s="12">
        <v>0</v>
      </c>
      <c r="O325" s="12">
        <v>1</v>
      </c>
      <c r="P325" s="12">
        <v>0</v>
      </c>
      <c r="Q325" s="12">
        <v>1</v>
      </c>
      <c r="R325" s="12">
        <v>1</v>
      </c>
      <c r="S325" s="12">
        <v>0</v>
      </c>
      <c r="T325" s="12">
        <v>0</v>
      </c>
      <c r="U325" s="12">
        <v>0</v>
      </c>
      <c r="V325" s="12">
        <v>0</v>
      </c>
      <c r="W325" s="12">
        <v>0</v>
      </c>
      <c r="X325" s="12">
        <v>0</v>
      </c>
      <c r="Y325" s="12">
        <v>0</v>
      </c>
      <c r="Z325" s="12">
        <v>0</v>
      </c>
      <c r="AA325" s="12">
        <v>0</v>
      </c>
      <c r="AB325" s="12">
        <v>0</v>
      </c>
      <c r="AC325" s="12">
        <v>1</v>
      </c>
      <c r="AD325" s="12">
        <v>0</v>
      </c>
      <c r="AE325" s="12">
        <v>0</v>
      </c>
      <c r="AF325" s="12">
        <v>0</v>
      </c>
      <c r="AG325" s="12">
        <v>0</v>
      </c>
    </row>
    <row r="326" spans="1:33">
      <c r="A326" s="8" t="s">
        <v>700</v>
      </c>
      <c r="B326" s="8" t="s">
        <v>701</v>
      </c>
      <c r="C326" s="9" t="s">
        <v>693</v>
      </c>
      <c r="D326" s="9" t="str">
        <f>VLOOKUP(C326,[1]销售对应表!$C:$J,5,0)</f>
        <v>交通行业组</v>
      </c>
      <c r="E326" s="10" t="s">
        <v>36</v>
      </c>
      <c r="F326" s="11">
        <f t="shared" si="5"/>
        <v>5</v>
      </c>
      <c r="G326" s="12">
        <v>1</v>
      </c>
      <c r="H326" s="12">
        <v>1</v>
      </c>
      <c r="I326" s="12">
        <v>0</v>
      </c>
      <c r="J326" s="12">
        <v>0</v>
      </c>
      <c r="K326" s="12">
        <v>0</v>
      </c>
      <c r="L326" s="12">
        <v>0</v>
      </c>
      <c r="M326" s="12">
        <v>1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  <c r="U326" s="12">
        <v>0</v>
      </c>
      <c r="V326" s="12">
        <v>0</v>
      </c>
      <c r="W326" s="12">
        <v>0</v>
      </c>
      <c r="X326" s="12">
        <v>1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1</v>
      </c>
      <c r="AE326" s="12">
        <v>0</v>
      </c>
      <c r="AF326" s="12">
        <v>0</v>
      </c>
      <c r="AG326" s="12">
        <v>0</v>
      </c>
    </row>
    <row r="327" spans="1:33">
      <c r="A327" s="8" t="s">
        <v>702</v>
      </c>
      <c r="B327" s="8" t="s">
        <v>703</v>
      </c>
      <c r="C327" s="9" t="s">
        <v>693</v>
      </c>
      <c r="D327" s="9" t="str">
        <f>VLOOKUP(C327,[1]销售对应表!$C:$J,5,0)</f>
        <v>交通行业组</v>
      </c>
      <c r="E327" s="10" t="s">
        <v>41</v>
      </c>
      <c r="F327" s="11">
        <f t="shared" si="5"/>
        <v>4</v>
      </c>
      <c r="G327" s="12">
        <v>1</v>
      </c>
      <c r="H327" s="12">
        <v>0</v>
      </c>
      <c r="I327" s="12">
        <v>0</v>
      </c>
      <c r="J327" s="12">
        <v>0</v>
      </c>
      <c r="K327" s="12">
        <v>0</v>
      </c>
      <c r="L327" s="12">
        <v>0</v>
      </c>
      <c r="M327" s="12">
        <v>1</v>
      </c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v>1</v>
      </c>
      <c r="U327" s="12">
        <v>0</v>
      </c>
      <c r="V327" s="12">
        <v>0</v>
      </c>
      <c r="W327" s="12">
        <v>0</v>
      </c>
      <c r="X327" s="12">
        <v>0</v>
      </c>
      <c r="Y327" s="12">
        <v>0</v>
      </c>
      <c r="Z327" s="12">
        <v>0</v>
      </c>
      <c r="AA327" s="12">
        <v>0</v>
      </c>
      <c r="AB327" s="12">
        <v>0</v>
      </c>
      <c r="AC327" s="12">
        <v>0</v>
      </c>
      <c r="AD327" s="12">
        <v>0</v>
      </c>
      <c r="AE327" s="12">
        <v>0</v>
      </c>
      <c r="AF327" s="12">
        <v>0</v>
      </c>
      <c r="AG327" s="12">
        <v>1</v>
      </c>
    </row>
    <row r="328" spans="1:33">
      <c r="A328" s="8" t="s">
        <v>704</v>
      </c>
      <c r="B328" s="8" t="s">
        <v>705</v>
      </c>
      <c r="C328" s="9" t="s">
        <v>693</v>
      </c>
      <c r="D328" s="9" t="str">
        <f>VLOOKUP(C328,[1]销售对应表!$C:$J,5,0)</f>
        <v>交通行业组</v>
      </c>
      <c r="E328" s="10" t="s">
        <v>36</v>
      </c>
      <c r="F328" s="11">
        <f t="shared" si="5"/>
        <v>2</v>
      </c>
      <c r="G328" s="12">
        <v>0</v>
      </c>
      <c r="H328" s="12">
        <v>1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0</v>
      </c>
      <c r="V328" s="12">
        <v>0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1</v>
      </c>
      <c r="AE328" s="12">
        <v>0</v>
      </c>
      <c r="AF328" s="12">
        <v>0</v>
      </c>
      <c r="AG328" s="12">
        <v>0</v>
      </c>
    </row>
    <row r="329" spans="1:33">
      <c r="A329" s="8" t="s">
        <v>706</v>
      </c>
      <c r="B329" s="8" t="s">
        <v>707</v>
      </c>
      <c r="C329" s="9" t="s">
        <v>693</v>
      </c>
      <c r="D329" s="9" t="str">
        <f>VLOOKUP(C329,[1]销售对应表!$C:$J,5,0)</f>
        <v>交通行业组</v>
      </c>
      <c r="E329" s="10" t="s">
        <v>36</v>
      </c>
      <c r="F329" s="11">
        <f t="shared" si="5"/>
        <v>2</v>
      </c>
      <c r="G329" s="12">
        <v>0</v>
      </c>
      <c r="H329" s="12">
        <v>1</v>
      </c>
      <c r="I329" s="12">
        <v>0</v>
      </c>
      <c r="J329" s="12">
        <v>0</v>
      </c>
      <c r="K329" s="12">
        <v>0</v>
      </c>
      <c r="L329" s="12">
        <v>0</v>
      </c>
      <c r="M329" s="12">
        <v>0</v>
      </c>
      <c r="N329" s="12">
        <v>1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0</v>
      </c>
      <c r="U329" s="12">
        <v>0</v>
      </c>
      <c r="V329" s="12">
        <v>0</v>
      </c>
      <c r="W329" s="12">
        <v>0</v>
      </c>
      <c r="X329" s="12">
        <v>0</v>
      </c>
      <c r="Y329" s="12">
        <v>0</v>
      </c>
      <c r="Z329" s="12">
        <v>0</v>
      </c>
      <c r="AA329" s="12">
        <v>0</v>
      </c>
      <c r="AB329" s="12">
        <v>0</v>
      </c>
      <c r="AC329" s="12">
        <v>0</v>
      </c>
      <c r="AD329" s="12">
        <v>0</v>
      </c>
      <c r="AE329" s="12">
        <v>0</v>
      </c>
      <c r="AF329" s="12">
        <v>0</v>
      </c>
      <c r="AG329" s="12">
        <v>0</v>
      </c>
    </row>
    <row r="330" spans="1:33">
      <c r="A330" s="8" t="s">
        <v>708</v>
      </c>
      <c r="B330" s="8" t="s">
        <v>709</v>
      </c>
      <c r="C330" s="9" t="s">
        <v>693</v>
      </c>
      <c r="D330" s="9" t="str">
        <f>VLOOKUP(C330,[1]销售对应表!$C:$J,5,0)</f>
        <v>交通行业组</v>
      </c>
      <c r="E330" s="10" t="s">
        <v>41</v>
      </c>
      <c r="F330" s="11">
        <f t="shared" si="5"/>
        <v>3</v>
      </c>
      <c r="G330" s="12">
        <v>1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1</v>
      </c>
      <c r="N330" s="12">
        <v>0</v>
      </c>
      <c r="O330" s="12">
        <v>0</v>
      </c>
      <c r="P330" s="12">
        <v>1</v>
      </c>
      <c r="Q330" s="12">
        <v>0</v>
      </c>
      <c r="R330" s="12">
        <v>0</v>
      </c>
      <c r="S330" s="12">
        <v>0</v>
      </c>
      <c r="T330" s="12">
        <v>0</v>
      </c>
      <c r="U330" s="12">
        <v>0</v>
      </c>
      <c r="V330" s="12">
        <v>0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</row>
    <row r="331" spans="1:33">
      <c r="A331" s="8" t="s">
        <v>710</v>
      </c>
      <c r="B331" s="8" t="s">
        <v>711</v>
      </c>
      <c r="C331" s="9" t="s">
        <v>693</v>
      </c>
      <c r="D331" s="9" t="str">
        <f>VLOOKUP(C331,[1]销售对应表!$C:$J,5,0)</f>
        <v>交通行业组</v>
      </c>
      <c r="E331" s="10" t="s">
        <v>41</v>
      </c>
      <c r="F331" s="11">
        <f t="shared" si="5"/>
        <v>2</v>
      </c>
      <c r="G331" s="12">
        <v>0</v>
      </c>
      <c r="H331" s="12">
        <v>0</v>
      </c>
      <c r="I331" s="12">
        <v>0</v>
      </c>
      <c r="J331" s="12">
        <v>0</v>
      </c>
      <c r="K331" s="12">
        <v>0</v>
      </c>
      <c r="L331" s="12">
        <v>0</v>
      </c>
      <c r="M331" s="12">
        <v>1</v>
      </c>
      <c r="N331" s="12">
        <v>0</v>
      </c>
      <c r="O331" s="12">
        <v>1</v>
      </c>
      <c r="P331" s="12">
        <v>0</v>
      </c>
      <c r="Q331" s="12">
        <v>0</v>
      </c>
      <c r="R331" s="12">
        <v>0</v>
      </c>
      <c r="S331" s="12">
        <v>0</v>
      </c>
      <c r="T331" s="12">
        <v>0</v>
      </c>
      <c r="U331" s="12">
        <v>0</v>
      </c>
      <c r="V331" s="12">
        <v>0</v>
      </c>
      <c r="W331" s="12">
        <v>0</v>
      </c>
      <c r="X331" s="12">
        <v>0</v>
      </c>
      <c r="Y331" s="12">
        <v>0</v>
      </c>
      <c r="Z331" s="12">
        <v>0</v>
      </c>
      <c r="AA331" s="12">
        <v>0</v>
      </c>
      <c r="AB331" s="12">
        <v>0</v>
      </c>
      <c r="AC331" s="12">
        <v>0</v>
      </c>
      <c r="AD331" s="12">
        <v>0</v>
      </c>
      <c r="AE331" s="12">
        <v>0</v>
      </c>
      <c r="AF331" s="12">
        <v>0</v>
      </c>
      <c r="AG331" s="12">
        <v>0</v>
      </c>
    </row>
    <row r="332" spans="1:33">
      <c r="A332" s="8" t="s">
        <v>712</v>
      </c>
      <c r="B332" s="8" t="s">
        <v>713</v>
      </c>
      <c r="C332" s="9" t="s">
        <v>693</v>
      </c>
      <c r="D332" s="9" t="str">
        <f>VLOOKUP(C332,[1]销售对应表!$C:$J,5,0)</f>
        <v>交通行业组</v>
      </c>
      <c r="E332" s="10" t="s">
        <v>36</v>
      </c>
      <c r="F332" s="11">
        <f t="shared" si="5"/>
        <v>1</v>
      </c>
      <c r="G332" s="12">
        <v>0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  <c r="U332" s="12">
        <v>0</v>
      </c>
      <c r="V332" s="12">
        <v>0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1</v>
      </c>
      <c r="AE332" s="12">
        <v>0</v>
      </c>
      <c r="AF332" s="12">
        <v>0</v>
      </c>
      <c r="AG332" s="12">
        <v>0</v>
      </c>
    </row>
    <row r="333" spans="1:33">
      <c r="A333" s="8" t="s">
        <v>714</v>
      </c>
      <c r="B333" s="8" t="s">
        <v>715</v>
      </c>
      <c r="C333" s="9" t="s">
        <v>693</v>
      </c>
      <c r="D333" s="9" t="str">
        <f>VLOOKUP(C333,[1]销售对应表!$C:$J,5,0)</f>
        <v>交通行业组</v>
      </c>
      <c r="E333" s="10" t="s">
        <v>41</v>
      </c>
      <c r="F333" s="11">
        <f t="shared" si="5"/>
        <v>1</v>
      </c>
      <c r="G333" s="12">
        <v>0</v>
      </c>
      <c r="H333" s="12">
        <v>0</v>
      </c>
      <c r="I333" s="12">
        <v>0</v>
      </c>
      <c r="J333" s="12">
        <v>0</v>
      </c>
      <c r="K333" s="12">
        <v>0</v>
      </c>
      <c r="L333" s="12">
        <v>0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0</v>
      </c>
      <c r="V333" s="12">
        <v>0</v>
      </c>
      <c r="W333" s="12">
        <v>0</v>
      </c>
      <c r="X333" s="12">
        <v>0</v>
      </c>
      <c r="Y333" s="12">
        <v>0</v>
      </c>
      <c r="Z333" s="12">
        <v>0</v>
      </c>
      <c r="AA333" s="12">
        <v>1</v>
      </c>
      <c r="AB333" s="12">
        <v>0</v>
      </c>
      <c r="AC333" s="12">
        <v>0</v>
      </c>
      <c r="AD333" s="12">
        <v>0</v>
      </c>
      <c r="AE333" s="12">
        <v>0</v>
      </c>
      <c r="AF333" s="12">
        <v>0</v>
      </c>
      <c r="AG333" s="12">
        <v>0</v>
      </c>
    </row>
    <row r="334" spans="1:33">
      <c r="A334" s="8" t="s">
        <v>716</v>
      </c>
      <c r="B334" s="8" t="s">
        <v>717</v>
      </c>
      <c r="C334" s="9" t="s">
        <v>693</v>
      </c>
      <c r="D334" s="9" t="str">
        <f>VLOOKUP(C334,[1]销售对应表!$C:$J,5,0)</f>
        <v>交通行业组</v>
      </c>
      <c r="E334" s="10" t="s">
        <v>36</v>
      </c>
      <c r="F334" s="11">
        <f t="shared" si="5"/>
        <v>1</v>
      </c>
      <c r="G334" s="12">
        <v>0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2">
        <v>0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1</v>
      </c>
      <c r="AE334" s="12">
        <v>0</v>
      </c>
      <c r="AF334" s="12">
        <v>0</v>
      </c>
      <c r="AG334" s="12">
        <v>0</v>
      </c>
    </row>
    <row r="335" spans="1:33">
      <c r="A335" s="8" t="s">
        <v>718</v>
      </c>
      <c r="B335" s="8" t="s">
        <v>719</v>
      </c>
      <c r="C335" s="9" t="s">
        <v>693</v>
      </c>
      <c r="D335" s="9" t="str">
        <f>VLOOKUP(C335,[1]销售对应表!$C:$J,5,0)</f>
        <v>交通行业组</v>
      </c>
      <c r="E335" s="10" t="s">
        <v>41</v>
      </c>
      <c r="F335" s="11">
        <f t="shared" si="5"/>
        <v>1</v>
      </c>
      <c r="G335" s="12">
        <v>0</v>
      </c>
      <c r="H335" s="12">
        <v>0</v>
      </c>
      <c r="I335" s="12">
        <v>0</v>
      </c>
      <c r="J335" s="12">
        <v>0</v>
      </c>
      <c r="K335" s="12">
        <v>0</v>
      </c>
      <c r="L335" s="12">
        <v>0</v>
      </c>
      <c r="M335" s="12">
        <v>0</v>
      </c>
      <c r="N335" s="12">
        <v>0</v>
      </c>
      <c r="O335" s="12">
        <v>0</v>
      </c>
      <c r="P335" s="12">
        <v>0</v>
      </c>
      <c r="Q335" s="12">
        <v>0</v>
      </c>
      <c r="R335" s="12">
        <v>0</v>
      </c>
      <c r="S335" s="12">
        <v>0</v>
      </c>
      <c r="T335" s="12">
        <v>0</v>
      </c>
      <c r="U335" s="12">
        <v>0</v>
      </c>
      <c r="V335" s="12">
        <v>0</v>
      </c>
      <c r="W335" s="12">
        <v>0</v>
      </c>
      <c r="X335" s="12">
        <v>0</v>
      </c>
      <c r="Y335" s="12">
        <v>0</v>
      </c>
      <c r="Z335" s="12">
        <v>0</v>
      </c>
      <c r="AA335" s="12">
        <v>0</v>
      </c>
      <c r="AB335" s="12">
        <v>0</v>
      </c>
      <c r="AC335" s="12">
        <v>0</v>
      </c>
      <c r="AD335" s="12">
        <v>1</v>
      </c>
      <c r="AE335" s="12">
        <v>0</v>
      </c>
      <c r="AF335" s="12">
        <v>0</v>
      </c>
      <c r="AG335" s="12">
        <v>0</v>
      </c>
    </row>
    <row r="336" spans="1:33">
      <c r="A336" s="8" t="s">
        <v>720</v>
      </c>
      <c r="B336" s="8" t="s">
        <v>721</v>
      </c>
      <c r="C336" s="9" t="s">
        <v>693</v>
      </c>
      <c r="D336" s="9" t="str">
        <f>VLOOKUP(C336,[1]销售对应表!$C:$J,5,0)</f>
        <v>交通行业组</v>
      </c>
      <c r="E336" s="10" t="s">
        <v>41</v>
      </c>
      <c r="F336" s="11">
        <f t="shared" si="5"/>
        <v>1</v>
      </c>
      <c r="G336" s="12">
        <v>0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0</v>
      </c>
      <c r="V336" s="12">
        <v>0</v>
      </c>
      <c r="W336" s="12">
        <v>0</v>
      </c>
      <c r="X336" s="12">
        <v>1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</row>
    <row r="337" spans="1:33">
      <c r="A337" s="8" t="s">
        <v>722</v>
      </c>
      <c r="B337" s="8" t="s">
        <v>723</v>
      </c>
      <c r="C337" s="9" t="s">
        <v>693</v>
      </c>
      <c r="D337" s="9" t="str">
        <f>VLOOKUP(C337,[1]销售对应表!$C:$J,5,0)</f>
        <v>交通行业组</v>
      </c>
      <c r="E337" s="10" t="s">
        <v>41</v>
      </c>
      <c r="F337" s="11">
        <f t="shared" si="5"/>
        <v>1</v>
      </c>
      <c r="G337" s="12">
        <v>0</v>
      </c>
      <c r="H337" s="12">
        <v>0</v>
      </c>
      <c r="I337" s="12">
        <v>0</v>
      </c>
      <c r="J337" s="12">
        <v>0</v>
      </c>
      <c r="K337" s="12">
        <v>0</v>
      </c>
      <c r="L337" s="12">
        <v>0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2">
        <v>0</v>
      </c>
      <c r="V337" s="12">
        <v>0</v>
      </c>
      <c r="W337" s="12">
        <v>0</v>
      </c>
      <c r="X337" s="12">
        <v>0</v>
      </c>
      <c r="Y337" s="12">
        <v>0</v>
      </c>
      <c r="Z337" s="12">
        <v>0</v>
      </c>
      <c r="AA337" s="12">
        <v>0</v>
      </c>
      <c r="AB337" s="12">
        <v>0</v>
      </c>
      <c r="AC337" s="12">
        <v>0</v>
      </c>
      <c r="AD337" s="12">
        <v>1</v>
      </c>
      <c r="AE337" s="12">
        <v>0</v>
      </c>
      <c r="AF337" s="12">
        <v>0</v>
      </c>
      <c r="AG337" s="12">
        <v>0</v>
      </c>
    </row>
    <row r="338" spans="1:33">
      <c r="A338" s="8" t="s">
        <v>724</v>
      </c>
      <c r="B338" s="8" t="s">
        <v>725</v>
      </c>
      <c r="C338" s="9" t="s">
        <v>693</v>
      </c>
      <c r="D338" s="9" t="str">
        <f>VLOOKUP(C338,[1]销售对应表!$C:$J,5,0)</f>
        <v>交通行业组</v>
      </c>
      <c r="E338" s="10" t="s">
        <v>36</v>
      </c>
      <c r="F338" s="11">
        <f t="shared" si="5"/>
        <v>1</v>
      </c>
      <c r="G338" s="12">
        <v>0</v>
      </c>
      <c r="H338" s="12">
        <v>1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0</v>
      </c>
      <c r="U338" s="12">
        <v>0</v>
      </c>
      <c r="V338" s="12">
        <v>0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</row>
    <row r="339" spans="1:33">
      <c r="A339" s="8" t="s">
        <v>726</v>
      </c>
      <c r="B339" s="8" t="s">
        <v>727</v>
      </c>
      <c r="C339" s="9" t="s">
        <v>693</v>
      </c>
      <c r="D339" s="9" t="str">
        <f>VLOOKUP(C339,[1]销售对应表!$C:$J,5,0)</f>
        <v>交通行业组</v>
      </c>
      <c r="E339" s="10" t="s">
        <v>41</v>
      </c>
      <c r="F339" s="11">
        <f t="shared" si="5"/>
        <v>0</v>
      </c>
      <c r="G339" s="12">
        <v>0</v>
      </c>
      <c r="H339" s="12">
        <v>0</v>
      </c>
      <c r="I339" s="12">
        <v>0</v>
      </c>
      <c r="J339" s="12">
        <v>0</v>
      </c>
      <c r="K339" s="12">
        <v>0</v>
      </c>
      <c r="L339" s="12">
        <v>0</v>
      </c>
      <c r="M339" s="12">
        <v>0</v>
      </c>
      <c r="N339" s="12">
        <v>0</v>
      </c>
      <c r="O339" s="12">
        <v>0</v>
      </c>
      <c r="P339" s="12">
        <v>0</v>
      </c>
      <c r="Q339" s="12">
        <v>0</v>
      </c>
      <c r="R339" s="12">
        <v>0</v>
      </c>
      <c r="S339" s="12">
        <v>0</v>
      </c>
      <c r="T339" s="12">
        <v>0</v>
      </c>
      <c r="U339" s="12">
        <v>0</v>
      </c>
      <c r="V339" s="12">
        <v>0</v>
      </c>
      <c r="W339" s="12">
        <v>0</v>
      </c>
      <c r="X339" s="12">
        <v>0</v>
      </c>
      <c r="Y339" s="12">
        <v>0</v>
      </c>
      <c r="Z339" s="12">
        <v>0</v>
      </c>
      <c r="AA339" s="12">
        <v>0</v>
      </c>
      <c r="AB339" s="12">
        <v>0</v>
      </c>
      <c r="AC339" s="12">
        <v>0</v>
      </c>
      <c r="AD339" s="12">
        <v>0</v>
      </c>
      <c r="AE339" s="12">
        <v>0</v>
      </c>
      <c r="AF339" s="12">
        <v>0</v>
      </c>
      <c r="AG339" s="12">
        <v>0</v>
      </c>
    </row>
    <row r="340" spans="1:33">
      <c r="A340" s="8" t="s">
        <v>728</v>
      </c>
      <c r="B340" s="8" t="s">
        <v>729</v>
      </c>
      <c r="C340" s="9" t="s">
        <v>730</v>
      </c>
      <c r="D340" s="14" t="s">
        <v>731</v>
      </c>
      <c r="E340" s="10" t="s">
        <v>36</v>
      </c>
      <c r="F340" s="11">
        <f t="shared" si="5"/>
        <v>17</v>
      </c>
      <c r="G340" s="12">
        <v>1</v>
      </c>
      <c r="H340" s="12">
        <v>1</v>
      </c>
      <c r="I340" s="12">
        <v>1</v>
      </c>
      <c r="J340" s="12">
        <v>1</v>
      </c>
      <c r="K340" s="12">
        <v>1</v>
      </c>
      <c r="L340" s="12">
        <v>0</v>
      </c>
      <c r="M340" s="12">
        <v>1</v>
      </c>
      <c r="N340" s="12">
        <v>1</v>
      </c>
      <c r="O340" s="12">
        <v>1</v>
      </c>
      <c r="P340" s="12">
        <v>0</v>
      </c>
      <c r="Q340" s="12">
        <v>0</v>
      </c>
      <c r="R340" s="12">
        <v>1</v>
      </c>
      <c r="S340" s="12">
        <v>1</v>
      </c>
      <c r="T340" s="12">
        <v>1</v>
      </c>
      <c r="U340" s="12">
        <v>1</v>
      </c>
      <c r="V340" s="12">
        <v>0</v>
      </c>
      <c r="W340" s="12">
        <v>1</v>
      </c>
      <c r="X340" s="12">
        <v>1</v>
      </c>
      <c r="Y340" s="12">
        <v>0</v>
      </c>
      <c r="Z340" s="12">
        <v>0</v>
      </c>
      <c r="AA340" s="12">
        <v>1</v>
      </c>
      <c r="AB340" s="12">
        <v>0</v>
      </c>
      <c r="AC340" s="12">
        <v>1</v>
      </c>
      <c r="AD340" s="12">
        <v>1</v>
      </c>
      <c r="AE340" s="12">
        <v>0</v>
      </c>
      <c r="AF340" s="12">
        <v>0</v>
      </c>
      <c r="AG340" s="12">
        <v>0</v>
      </c>
    </row>
    <row r="341" spans="1:33">
      <c r="A341" s="8" t="s">
        <v>732</v>
      </c>
      <c r="B341" s="8" t="s">
        <v>733</v>
      </c>
      <c r="C341" s="9" t="s">
        <v>730</v>
      </c>
      <c r="D341" s="14" t="s">
        <v>731</v>
      </c>
      <c r="E341" s="10" t="s">
        <v>36</v>
      </c>
      <c r="F341" s="11">
        <f t="shared" si="5"/>
        <v>17</v>
      </c>
      <c r="G341" s="12">
        <v>1</v>
      </c>
      <c r="H341" s="12">
        <v>1</v>
      </c>
      <c r="I341" s="12">
        <v>1</v>
      </c>
      <c r="J341" s="12">
        <v>1</v>
      </c>
      <c r="K341" s="12">
        <v>1</v>
      </c>
      <c r="L341" s="12">
        <v>1</v>
      </c>
      <c r="M341" s="12">
        <v>1</v>
      </c>
      <c r="N341" s="12">
        <v>1</v>
      </c>
      <c r="O341" s="12">
        <v>0</v>
      </c>
      <c r="P341" s="12">
        <v>0</v>
      </c>
      <c r="Q341" s="12">
        <v>0</v>
      </c>
      <c r="R341" s="12">
        <v>1</v>
      </c>
      <c r="S341" s="12">
        <v>1</v>
      </c>
      <c r="T341" s="12">
        <v>1</v>
      </c>
      <c r="U341" s="12">
        <v>1</v>
      </c>
      <c r="V341" s="12">
        <v>0</v>
      </c>
      <c r="W341" s="12">
        <v>1</v>
      </c>
      <c r="X341" s="12">
        <v>1</v>
      </c>
      <c r="Y341" s="12">
        <v>0</v>
      </c>
      <c r="Z341" s="12">
        <v>0</v>
      </c>
      <c r="AA341" s="12">
        <v>1</v>
      </c>
      <c r="AB341" s="12">
        <v>0</v>
      </c>
      <c r="AC341" s="12">
        <v>1</v>
      </c>
      <c r="AD341" s="12">
        <v>0</v>
      </c>
      <c r="AE341" s="12">
        <v>1</v>
      </c>
      <c r="AF341" s="12">
        <v>0</v>
      </c>
      <c r="AG341" s="12">
        <v>0</v>
      </c>
    </row>
    <row r="342" spans="1:33">
      <c r="A342" s="8" t="s">
        <v>734</v>
      </c>
      <c r="B342" s="8" t="s">
        <v>735</v>
      </c>
      <c r="C342" s="9" t="s">
        <v>730</v>
      </c>
      <c r="D342" s="14" t="s">
        <v>731</v>
      </c>
      <c r="E342" s="10" t="s">
        <v>36</v>
      </c>
      <c r="F342" s="11">
        <f t="shared" si="5"/>
        <v>8</v>
      </c>
      <c r="G342" s="12">
        <v>1</v>
      </c>
      <c r="H342" s="12">
        <v>1</v>
      </c>
      <c r="I342" s="12">
        <v>1</v>
      </c>
      <c r="J342" s="12">
        <v>0</v>
      </c>
      <c r="K342" s="12">
        <v>0</v>
      </c>
      <c r="L342" s="12">
        <v>0</v>
      </c>
      <c r="M342" s="12">
        <v>1</v>
      </c>
      <c r="N342" s="12">
        <v>0</v>
      </c>
      <c r="O342" s="12">
        <v>0</v>
      </c>
      <c r="P342" s="12">
        <v>1</v>
      </c>
      <c r="Q342" s="12">
        <v>0</v>
      </c>
      <c r="R342" s="12">
        <v>0</v>
      </c>
      <c r="S342" s="12">
        <v>0</v>
      </c>
      <c r="T342" s="12">
        <v>1</v>
      </c>
      <c r="U342" s="12">
        <v>0</v>
      </c>
      <c r="V342" s="12">
        <v>0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1</v>
      </c>
      <c r="AC342" s="12">
        <v>0</v>
      </c>
      <c r="AD342" s="12">
        <v>1</v>
      </c>
      <c r="AE342" s="12">
        <v>0</v>
      </c>
      <c r="AF342" s="12">
        <v>0</v>
      </c>
      <c r="AG342" s="12">
        <v>0</v>
      </c>
    </row>
    <row r="343" spans="1:33">
      <c r="A343" s="8" t="s">
        <v>736</v>
      </c>
      <c r="B343" s="8" t="s">
        <v>737</v>
      </c>
      <c r="C343" s="9" t="s">
        <v>730</v>
      </c>
      <c r="D343" s="14" t="s">
        <v>731</v>
      </c>
      <c r="E343" s="10" t="s">
        <v>36</v>
      </c>
      <c r="F343" s="11">
        <f t="shared" si="5"/>
        <v>7</v>
      </c>
      <c r="G343" s="12">
        <v>1</v>
      </c>
      <c r="H343" s="12">
        <v>1</v>
      </c>
      <c r="I343" s="12">
        <v>0</v>
      </c>
      <c r="J343" s="12">
        <v>0</v>
      </c>
      <c r="K343" s="12">
        <v>1</v>
      </c>
      <c r="L343" s="12">
        <v>0</v>
      </c>
      <c r="M343" s="12">
        <v>1</v>
      </c>
      <c r="N343" s="12">
        <v>0</v>
      </c>
      <c r="O343" s="12">
        <v>0</v>
      </c>
      <c r="P343" s="12">
        <v>1</v>
      </c>
      <c r="Q343" s="12">
        <v>0</v>
      </c>
      <c r="R343" s="12">
        <v>0</v>
      </c>
      <c r="S343" s="12">
        <v>0</v>
      </c>
      <c r="T343" s="12">
        <v>0</v>
      </c>
      <c r="U343" s="12">
        <v>0</v>
      </c>
      <c r="V343" s="12">
        <v>0</v>
      </c>
      <c r="W343" s="12">
        <v>0</v>
      </c>
      <c r="X343" s="12">
        <v>0</v>
      </c>
      <c r="Y343" s="12">
        <v>0</v>
      </c>
      <c r="Z343" s="12">
        <v>0</v>
      </c>
      <c r="AA343" s="12">
        <v>0</v>
      </c>
      <c r="AB343" s="12">
        <v>0</v>
      </c>
      <c r="AC343" s="12">
        <v>0</v>
      </c>
      <c r="AD343" s="12">
        <v>0</v>
      </c>
      <c r="AE343" s="12">
        <v>1</v>
      </c>
      <c r="AF343" s="12">
        <v>0</v>
      </c>
      <c r="AG343" s="12">
        <v>1</v>
      </c>
    </row>
    <row r="344" spans="1:33">
      <c r="A344" s="8" t="s">
        <v>738</v>
      </c>
      <c r="B344" s="8" t="s">
        <v>739</v>
      </c>
      <c r="C344" s="9" t="s">
        <v>730</v>
      </c>
      <c r="D344" s="14" t="s">
        <v>731</v>
      </c>
      <c r="E344" s="10" t="s">
        <v>36</v>
      </c>
      <c r="F344" s="11">
        <f t="shared" si="5"/>
        <v>8</v>
      </c>
      <c r="G344" s="12">
        <v>1</v>
      </c>
      <c r="H344" s="12">
        <v>1</v>
      </c>
      <c r="I344" s="12">
        <v>0</v>
      </c>
      <c r="J344" s="12">
        <v>0</v>
      </c>
      <c r="K344" s="12">
        <v>0</v>
      </c>
      <c r="L344" s="12">
        <v>0</v>
      </c>
      <c r="M344" s="12">
        <v>1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12">
        <v>1</v>
      </c>
      <c r="U344" s="12">
        <v>1</v>
      </c>
      <c r="V344" s="12">
        <v>0</v>
      </c>
      <c r="W344" s="12">
        <v>1</v>
      </c>
      <c r="X344" s="12">
        <v>0</v>
      </c>
      <c r="Y344" s="12">
        <v>0</v>
      </c>
      <c r="Z344" s="12">
        <v>0</v>
      </c>
      <c r="AA344" s="12">
        <v>0</v>
      </c>
      <c r="AB344" s="12">
        <v>1</v>
      </c>
      <c r="AC344" s="12">
        <v>0</v>
      </c>
      <c r="AD344" s="12">
        <v>1</v>
      </c>
      <c r="AE344" s="12">
        <v>0</v>
      </c>
      <c r="AF344" s="12">
        <v>0</v>
      </c>
      <c r="AG344" s="12">
        <v>0</v>
      </c>
    </row>
    <row r="345" spans="1:33">
      <c r="A345" s="8" t="s">
        <v>740</v>
      </c>
      <c r="B345" s="8" t="s">
        <v>741</v>
      </c>
      <c r="C345" s="9" t="s">
        <v>730</v>
      </c>
      <c r="D345" s="14" t="s">
        <v>731</v>
      </c>
      <c r="E345" s="10" t="s">
        <v>41</v>
      </c>
      <c r="F345" s="11">
        <f t="shared" si="5"/>
        <v>6</v>
      </c>
      <c r="G345" s="12">
        <v>0</v>
      </c>
      <c r="H345" s="12">
        <v>1</v>
      </c>
      <c r="I345" s="12">
        <v>0</v>
      </c>
      <c r="J345" s="12">
        <v>0</v>
      </c>
      <c r="K345" s="12">
        <v>0</v>
      </c>
      <c r="L345" s="12">
        <v>0</v>
      </c>
      <c r="M345" s="12">
        <v>1</v>
      </c>
      <c r="N345" s="12">
        <v>0</v>
      </c>
      <c r="O345" s="12">
        <v>0</v>
      </c>
      <c r="P345" s="12">
        <v>0</v>
      </c>
      <c r="Q345" s="12">
        <v>0</v>
      </c>
      <c r="R345" s="12">
        <v>0</v>
      </c>
      <c r="S345" s="12">
        <v>0</v>
      </c>
      <c r="T345" s="12">
        <v>1</v>
      </c>
      <c r="U345" s="12">
        <v>1</v>
      </c>
      <c r="V345" s="12">
        <v>0</v>
      </c>
      <c r="W345" s="12">
        <v>1</v>
      </c>
      <c r="X345" s="12">
        <v>0</v>
      </c>
      <c r="Y345" s="12">
        <v>0</v>
      </c>
      <c r="Z345" s="12">
        <v>0</v>
      </c>
      <c r="AA345" s="12">
        <v>0</v>
      </c>
      <c r="AB345" s="12">
        <v>0</v>
      </c>
      <c r="AC345" s="12">
        <v>0</v>
      </c>
      <c r="AD345" s="12">
        <v>1</v>
      </c>
      <c r="AE345" s="12">
        <v>0</v>
      </c>
      <c r="AF345" s="12">
        <v>0</v>
      </c>
      <c r="AG345" s="12">
        <v>0</v>
      </c>
    </row>
    <row r="346" spans="1:33">
      <c r="A346" s="8" t="s">
        <v>742</v>
      </c>
      <c r="B346" s="8" t="s">
        <v>743</v>
      </c>
      <c r="C346" s="9" t="s">
        <v>730</v>
      </c>
      <c r="D346" s="14" t="s">
        <v>731</v>
      </c>
      <c r="E346" s="10" t="s">
        <v>36</v>
      </c>
      <c r="F346" s="11">
        <f t="shared" si="5"/>
        <v>6</v>
      </c>
      <c r="G346" s="12">
        <v>0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12">
        <v>1</v>
      </c>
      <c r="U346" s="12">
        <v>1</v>
      </c>
      <c r="V346" s="12">
        <v>0</v>
      </c>
      <c r="W346" s="12">
        <v>1</v>
      </c>
      <c r="X346" s="12">
        <v>0</v>
      </c>
      <c r="Y346" s="12">
        <v>0</v>
      </c>
      <c r="Z346" s="12">
        <v>0</v>
      </c>
      <c r="AA346" s="12">
        <v>1</v>
      </c>
      <c r="AB346" s="12">
        <v>1</v>
      </c>
      <c r="AC346" s="12">
        <v>0</v>
      </c>
      <c r="AD346" s="12">
        <v>1</v>
      </c>
      <c r="AE346" s="12">
        <v>0</v>
      </c>
      <c r="AF346" s="12">
        <v>0</v>
      </c>
      <c r="AG346" s="12">
        <v>0</v>
      </c>
    </row>
    <row r="347" spans="1:33">
      <c r="A347" s="8" t="s">
        <v>744</v>
      </c>
      <c r="B347" s="8" t="s">
        <v>745</v>
      </c>
      <c r="C347" s="9" t="s">
        <v>730</v>
      </c>
      <c r="D347" s="14" t="s">
        <v>731</v>
      </c>
      <c r="E347" s="10" t="s">
        <v>41</v>
      </c>
      <c r="F347" s="11">
        <f t="shared" si="5"/>
        <v>5</v>
      </c>
      <c r="G347" s="12">
        <v>1</v>
      </c>
      <c r="H347" s="12">
        <v>1</v>
      </c>
      <c r="I347" s="12">
        <v>0</v>
      </c>
      <c r="J347" s="12">
        <v>0</v>
      </c>
      <c r="K347" s="12">
        <v>0</v>
      </c>
      <c r="L347" s="12">
        <v>0</v>
      </c>
      <c r="M347" s="12">
        <v>1</v>
      </c>
      <c r="N347" s="12">
        <v>0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1</v>
      </c>
      <c r="U347" s="12">
        <v>0</v>
      </c>
      <c r="V347" s="12">
        <v>0</v>
      </c>
      <c r="W347" s="12">
        <v>0</v>
      </c>
      <c r="X347" s="12">
        <v>0</v>
      </c>
      <c r="Y347" s="12">
        <v>0</v>
      </c>
      <c r="Z347" s="12">
        <v>0</v>
      </c>
      <c r="AA347" s="12">
        <v>1</v>
      </c>
      <c r="AB347" s="12">
        <v>0</v>
      </c>
      <c r="AC347" s="12">
        <v>0</v>
      </c>
      <c r="AD347" s="12">
        <v>0</v>
      </c>
      <c r="AE347" s="12">
        <v>0</v>
      </c>
      <c r="AF347" s="12">
        <v>0</v>
      </c>
      <c r="AG347" s="12">
        <v>0</v>
      </c>
    </row>
    <row r="348" spans="1:33">
      <c r="A348" s="8" t="s">
        <v>746</v>
      </c>
      <c r="B348" s="8" t="s">
        <v>747</v>
      </c>
      <c r="C348" s="9" t="s">
        <v>730</v>
      </c>
      <c r="D348" s="14" t="s">
        <v>731</v>
      </c>
      <c r="E348" s="10" t="s">
        <v>36</v>
      </c>
      <c r="F348" s="11">
        <f t="shared" si="5"/>
        <v>4</v>
      </c>
      <c r="G348" s="12">
        <v>0</v>
      </c>
      <c r="H348" s="12">
        <v>0</v>
      </c>
      <c r="I348" s="12">
        <v>0</v>
      </c>
      <c r="J348" s="12">
        <v>0</v>
      </c>
      <c r="K348" s="12">
        <v>1</v>
      </c>
      <c r="L348" s="12">
        <v>0</v>
      </c>
      <c r="M348" s="12">
        <v>1</v>
      </c>
      <c r="N348" s="12">
        <v>0</v>
      </c>
      <c r="O348" s="12">
        <v>0</v>
      </c>
      <c r="P348" s="12">
        <v>1</v>
      </c>
      <c r="Q348" s="12">
        <v>0</v>
      </c>
      <c r="R348" s="12">
        <v>0</v>
      </c>
      <c r="S348" s="12">
        <v>0</v>
      </c>
      <c r="T348" s="12">
        <v>1</v>
      </c>
      <c r="U348" s="12">
        <v>0</v>
      </c>
      <c r="V348" s="12">
        <v>0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</row>
    <row r="349" spans="1:33">
      <c r="A349" s="8" t="s">
        <v>748</v>
      </c>
      <c r="B349" s="8" t="s">
        <v>749</v>
      </c>
      <c r="C349" s="9" t="s">
        <v>730</v>
      </c>
      <c r="D349" s="14" t="s">
        <v>731</v>
      </c>
      <c r="E349" s="10" t="s">
        <v>41</v>
      </c>
      <c r="F349" s="11">
        <f t="shared" si="5"/>
        <v>3</v>
      </c>
      <c r="G349" s="12">
        <v>0</v>
      </c>
      <c r="H349" s="12">
        <v>1</v>
      </c>
      <c r="I349" s="12">
        <v>0</v>
      </c>
      <c r="J349" s="12">
        <v>0</v>
      </c>
      <c r="K349" s="12">
        <v>0</v>
      </c>
      <c r="L349" s="12">
        <v>1</v>
      </c>
      <c r="M349" s="12">
        <v>0</v>
      </c>
      <c r="N349" s="12">
        <v>0</v>
      </c>
      <c r="O349" s="12">
        <v>0</v>
      </c>
      <c r="P349" s="12">
        <v>1</v>
      </c>
      <c r="Q349" s="12">
        <v>0</v>
      </c>
      <c r="R349" s="12">
        <v>0</v>
      </c>
      <c r="S349" s="12">
        <v>0</v>
      </c>
      <c r="T349" s="12">
        <v>0</v>
      </c>
      <c r="U349" s="12">
        <v>0</v>
      </c>
      <c r="V349" s="12">
        <v>0</v>
      </c>
      <c r="W349" s="12">
        <v>0</v>
      </c>
      <c r="X349" s="12">
        <v>0</v>
      </c>
      <c r="Y349" s="12">
        <v>0</v>
      </c>
      <c r="Z349" s="12">
        <v>0</v>
      </c>
      <c r="AA349" s="12">
        <v>0</v>
      </c>
      <c r="AB349" s="12">
        <v>0</v>
      </c>
      <c r="AC349" s="12">
        <v>0</v>
      </c>
      <c r="AD349" s="12">
        <v>0</v>
      </c>
      <c r="AE349" s="12">
        <v>0</v>
      </c>
      <c r="AF349" s="12">
        <v>0</v>
      </c>
      <c r="AG349" s="12">
        <v>0</v>
      </c>
    </row>
    <row r="350" spans="1:33">
      <c r="A350" s="8" t="s">
        <v>750</v>
      </c>
      <c r="B350" s="8" t="s">
        <v>751</v>
      </c>
      <c r="C350" s="9" t="s">
        <v>730</v>
      </c>
      <c r="D350" s="14" t="s">
        <v>731</v>
      </c>
      <c r="E350" s="10" t="s">
        <v>41</v>
      </c>
      <c r="F350" s="11">
        <f t="shared" si="5"/>
        <v>3</v>
      </c>
      <c r="G350" s="12">
        <v>1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1</v>
      </c>
      <c r="N350" s="12">
        <v>0</v>
      </c>
      <c r="O350" s="12">
        <v>0</v>
      </c>
      <c r="P350" s="12">
        <v>1</v>
      </c>
      <c r="Q350" s="12">
        <v>0</v>
      </c>
      <c r="R350" s="12">
        <v>0</v>
      </c>
      <c r="S350" s="12">
        <v>0</v>
      </c>
      <c r="T350" s="12">
        <v>0</v>
      </c>
      <c r="U350" s="12">
        <v>0</v>
      </c>
      <c r="V350" s="12">
        <v>0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</row>
    <row r="351" spans="1:33">
      <c r="A351" s="8" t="s">
        <v>752</v>
      </c>
      <c r="B351" s="8" t="s">
        <v>753</v>
      </c>
      <c r="C351" s="9" t="s">
        <v>730</v>
      </c>
      <c r="D351" s="14" t="s">
        <v>731</v>
      </c>
      <c r="E351" s="10" t="s">
        <v>36</v>
      </c>
      <c r="F351" s="11">
        <f t="shared" si="5"/>
        <v>2</v>
      </c>
      <c r="G351" s="12">
        <v>1</v>
      </c>
      <c r="H351" s="12">
        <v>1</v>
      </c>
      <c r="I351" s="12">
        <v>0</v>
      </c>
      <c r="J351" s="12">
        <v>0</v>
      </c>
      <c r="K351" s="12">
        <v>0</v>
      </c>
      <c r="L351" s="12">
        <v>0</v>
      </c>
      <c r="M351" s="12">
        <v>0</v>
      </c>
      <c r="N351" s="12">
        <v>0</v>
      </c>
      <c r="O351" s="12">
        <v>0</v>
      </c>
      <c r="P351" s="12">
        <v>0</v>
      </c>
      <c r="Q351" s="12">
        <v>0</v>
      </c>
      <c r="R351" s="12">
        <v>0</v>
      </c>
      <c r="S351" s="12">
        <v>0</v>
      </c>
      <c r="T351" s="12">
        <v>0</v>
      </c>
      <c r="U351" s="12">
        <v>0</v>
      </c>
      <c r="V351" s="12">
        <v>0</v>
      </c>
      <c r="W351" s="12">
        <v>0</v>
      </c>
      <c r="X351" s="12">
        <v>0</v>
      </c>
      <c r="Y351" s="12">
        <v>0</v>
      </c>
      <c r="Z351" s="12">
        <v>0</v>
      </c>
      <c r="AA351" s="12">
        <v>0</v>
      </c>
      <c r="AB351" s="12">
        <v>0</v>
      </c>
      <c r="AC351" s="12">
        <v>0</v>
      </c>
      <c r="AD351" s="12">
        <v>0</v>
      </c>
      <c r="AE351" s="12">
        <v>0</v>
      </c>
      <c r="AF351" s="12">
        <v>0</v>
      </c>
      <c r="AG351" s="12">
        <v>0</v>
      </c>
    </row>
    <row r="352" spans="1:33">
      <c r="A352" s="8" t="s">
        <v>754</v>
      </c>
      <c r="B352" s="8" t="s">
        <v>755</v>
      </c>
      <c r="C352" s="9" t="s">
        <v>730</v>
      </c>
      <c r="D352" s="14" t="s">
        <v>731</v>
      </c>
      <c r="E352" s="10" t="s">
        <v>41</v>
      </c>
      <c r="F352" s="11">
        <f t="shared" si="5"/>
        <v>2</v>
      </c>
      <c r="G352" s="12">
        <v>0</v>
      </c>
      <c r="H352" s="12">
        <v>1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12">
        <v>0</v>
      </c>
      <c r="U352" s="12">
        <v>0</v>
      </c>
      <c r="V352" s="12">
        <v>0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1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</row>
    <row r="353" spans="1:33">
      <c r="A353" s="8" t="s">
        <v>756</v>
      </c>
      <c r="B353" s="8" t="s">
        <v>757</v>
      </c>
      <c r="C353" s="9" t="s">
        <v>730</v>
      </c>
      <c r="D353" s="14" t="s">
        <v>731</v>
      </c>
      <c r="E353" s="10" t="s">
        <v>41</v>
      </c>
      <c r="F353" s="11">
        <f t="shared" si="5"/>
        <v>1</v>
      </c>
      <c r="G353" s="12">
        <v>0</v>
      </c>
      <c r="H353" s="12">
        <v>0</v>
      </c>
      <c r="I353" s="12">
        <v>0</v>
      </c>
      <c r="J353" s="12">
        <v>1</v>
      </c>
      <c r="K353" s="12">
        <v>0</v>
      </c>
      <c r="L353" s="12">
        <v>0</v>
      </c>
      <c r="M353" s="12">
        <v>0</v>
      </c>
      <c r="N353" s="12">
        <v>0</v>
      </c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0</v>
      </c>
      <c r="V353" s="12">
        <v>0</v>
      </c>
      <c r="W353" s="12">
        <v>0</v>
      </c>
      <c r="X353" s="12">
        <v>0</v>
      </c>
      <c r="Y353" s="12">
        <v>0</v>
      </c>
      <c r="Z353" s="12">
        <v>0</v>
      </c>
      <c r="AA353" s="12">
        <v>0</v>
      </c>
      <c r="AB353" s="12">
        <v>0</v>
      </c>
      <c r="AC353" s="12">
        <v>0</v>
      </c>
      <c r="AD353" s="12">
        <v>0</v>
      </c>
      <c r="AE353" s="12">
        <v>0</v>
      </c>
      <c r="AF353" s="12">
        <v>0</v>
      </c>
      <c r="AG353" s="12">
        <v>0</v>
      </c>
    </row>
    <row r="354" spans="1:33">
      <c r="A354" s="8" t="s">
        <v>758</v>
      </c>
      <c r="B354" s="8" t="s">
        <v>759</v>
      </c>
      <c r="C354" s="9" t="s">
        <v>730</v>
      </c>
      <c r="D354" s="14" t="s">
        <v>731</v>
      </c>
      <c r="E354" s="10" t="s">
        <v>41</v>
      </c>
      <c r="F354" s="11">
        <f t="shared" si="5"/>
        <v>1</v>
      </c>
      <c r="G354" s="12">
        <v>0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12">
        <v>1</v>
      </c>
      <c r="U354" s="12">
        <v>0</v>
      </c>
      <c r="V354" s="12">
        <v>0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</row>
    <row r="355" spans="1:33">
      <c r="A355" s="8" t="s">
        <v>760</v>
      </c>
      <c r="B355" s="8" t="s">
        <v>761</v>
      </c>
      <c r="C355" s="9" t="s">
        <v>730</v>
      </c>
      <c r="D355" s="14" t="s">
        <v>731</v>
      </c>
      <c r="E355" s="10" t="s">
        <v>41</v>
      </c>
      <c r="F355" s="11">
        <f t="shared" si="5"/>
        <v>0</v>
      </c>
      <c r="G355" s="12">
        <v>0</v>
      </c>
      <c r="H355" s="12">
        <v>0</v>
      </c>
      <c r="I355" s="12">
        <v>0</v>
      </c>
      <c r="J355" s="12">
        <v>0</v>
      </c>
      <c r="K355" s="12">
        <v>0</v>
      </c>
      <c r="L355" s="12">
        <v>0</v>
      </c>
      <c r="M355" s="12">
        <v>0</v>
      </c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2">
        <v>0</v>
      </c>
      <c r="T355" s="12">
        <v>0</v>
      </c>
      <c r="U355" s="12">
        <v>0</v>
      </c>
      <c r="V355" s="12">
        <v>0</v>
      </c>
      <c r="W355" s="12">
        <v>0</v>
      </c>
      <c r="X355" s="12">
        <v>0</v>
      </c>
      <c r="Y355" s="12">
        <v>0</v>
      </c>
      <c r="Z355" s="12">
        <v>0</v>
      </c>
      <c r="AA355" s="12">
        <v>0</v>
      </c>
      <c r="AB355" s="12">
        <v>0</v>
      </c>
      <c r="AC355" s="12">
        <v>0</v>
      </c>
      <c r="AD355" s="12">
        <v>0</v>
      </c>
      <c r="AE355" s="12">
        <v>0</v>
      </c>
      <c r="AF355" s="12">
        <v>0</v>
      </c>
      <c r="AG355" s="12">
        <v>0</v>
      </c>
    </row>
    <row r="356" spans="1:33">
      <c r="A356" s="8" t="s">
        <v>762</v>
      </c>
      <c r="B356" s="8" t="s">
        <v>763</v>
      </c>
      <c r="C356" s="9" t="s">
        <v>730</v>
      </c>
      <c r="D356" s="14" t="s">
        <v>731</v>
      </c>
      <c r="E356" s="10" t="s">
        <v>41</v>
      </c>
      <c r="F356" s="11">
        <f t="shared" si="5"/>
        <v>0</v>
      </c>
      <c r="G356" s="12">
        <v>0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  <c r="U356" s="12">
        <v>0</v>
      </c>
      <c r="V356" s="12">
        <v>0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</row>
    <row r="357" spans="1:33">
      <c r="A357" s="8" t="s">
        <v>764</v>
      </c>
      <c r="B357" s="8" t="s">
        <v>765</v>
      </c>
      <c r="C357" s="9" t="s">
        <v>730</v>
      </c>
      <c r="D357" s="14" t="s">
        <v>731</v>
      </c>
      <c r="E357" s="10" t="s">
        <v>41</v>
      </c>
      <c r="F357" s="11">
        <f t="shared" si="5"/>
        <v>0</v>
      </c>
      <c r="G357" s="12">
        <v>0</v>
      </c>
      <c r="H357" s="12">
        <v>0</v>
      </c>
      <c r="I357" s="12">
        <v>0</v>
      </c>
      <c r="J357" s="12">
        <v>0</v>
      </c>
      <c r="K357" s="12">
        <v>0</v>
      </c>
      <c r="L357" s="12">
        <v>0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  <c r="U357" s="12">
        <v>0</v>
      </c>
      <c r="V357" s="12">
        <v>0</v>
      </c>
      <c r="W357" s="12">
        <v>0</v>
      </c>
      <c r="X357" s="12">
        <v>0</v>
      </c>
      <c r="Y357" s="12">
        <v>0</v>
      </c>
      <c r="Z357" s="12">
        <v>0</v>
      </c>
      <c r="AA357" s="12">
        <v>0</v>
      </c>
      <c r="AB357" s="12">
        <v>0</v>
      </c>
      <c r="AC357" s="12">
        <v>0</v>
      </c>
      <c r="AD357" s="12">
        <v>0</v>
      </c>
      <c r="AE357" s="12">
        <v>0</v>
      </c>
      <c r="AF357" s="12">
        <v>0</v>
      </c>
      <c r="AG357" s="12">
        <v>0</v>
      </c>
    </row>
    <row r="358" spans="1:33">
      <c r="A358" s="8" t="s">
        <v>766</v>
      </c>
      <c r="B358" s="8" t="s">
        <v>767</v>
      </c>
      <c r="C358" s="9" t="s">
        <v>768</v>
      </c>
      <c r="D358" s="9" t="str">
        <f>VLOOKUP(C358,[1]销售对应表!$C:$J,5,0)</f>
        <v>公安交警行业组</v>
      </c>
      <c r="E358" s="10" t="s">
        <v>36</v>
      </c>
      <c r="F358" s="11">
        <f t="shared" si="5"/>
        <v>7</v>
      </c>
      <c r="G358" s="12">
        <v>1</v>
      </c>
      <c r="H358" s="12">
        <v>1</v>
      </c>
      <c r="I358" s="12">
        <v>0</v>
      </c>
      <c r="J358" s="12">
        <v>1</v>
      </c>
      <c r="K358" s="12">
        <v>0</v>
      </c>
      <c r="L358" s="12">
        <v>0</v>
      </c>
      <c r="M358" s="12">
        <v>1</v>
      </c>
      <c r="N358" s="12">
        <v>0</v>
      </c>
      <c r="O358" s="12">
        <v>0</v>
      </c>
      <c r="P358" s="12">
        <v>0</v>
      </c>
      <c r="Q358" s="12">
        <v>1</v>
      </c>
      <c r="R358" s="12">
        <v>0</v>
      </c>
      <c r="S358" s="12">
        <v>0</v>
      </c>
      <c r="T358" s="12">
        <v>1</v>
      </c>
      <c r="U358" s="12">
        <v>0</v>
      </c>
      <c r="V358" s="12">
        <v>0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1</v>
      </c>
      <c r="AG358" s="12">
        <v>0</v>
      </c>
    </row>
    <row r="359" spans="1:33">
      <c r="A359" s="8" t="s">
        <v>769</v>
      </c>
      <c r="B359" s="8" t="s">
        <v>770</v>
      </c>
      <c r="C359" s="9" t="s">
        <v>768</v>
      </c>
      <c r="D359" s="9" t="str">
        <f>VLOOKUP(C359,[1]销售对应表!$C:$J,5,0)</f>
        <v>公安交警行业组</v>
      </c>
      <c r="E359" s="10" t="s">
        <v>36</v>
      </c>
      <c r="F359" s="11">
        <f t="shared" si="5"/>
        <v>8</v>
      </c>
      <c r="G359" s="12">
        <v>1</v>
      </c>
      <c r="H359" s="12">
        <v>0</v>
      </c>
      <c r="I359" s="12">
        <v>0</v>
      </c>
      <c r="J359" s="12">
        <v>0</v>
      </c>
      <c r="K359" s="12">
        <v>1</v>
      </c>
      <c r="L359" s="12">
        <v>1</v>
      </c>
      <c r="M359" s="12">
        <v>1</v>
      </c>
      <c r="N359" s="12">
        <v>1</v>
      </c>
      <c r="O359" s="12">
        <v>0</v>
      </c>
      <c r="P359" s="12">
        <v>1</v>
      </c>
      <c r="Q359" s="12">
        <v>0</v>
      </c>
      <c r="R359" s="12">
        <v>0</v>
      </c>
      <c r="S359" s="12">
        <v>0</v>
      </c>
      <c r="T359" s="12">
        <v>0</v>
      </c>
      <c r="U359" s="12">
        <v>0</v>
      </c>
      <c r="V359" s="12">
        <v>0</v>
      </c>
      <c r="W359" s="12">
        <v>0</v>
      </c>
      <c r="X359" s="12">
        <v>0</v>
      </c>
      <c r="Y359" s="12">
        <v>0</v>
      </c>
      <c r="Z359" s="12">
        <v>0</v>
      </c>
      <c r="AA359" s="12">
        <v>0</v>
      </c>
      <c r="AB359" s="12">
        <v>0</v>
      </c>
      <c r="AC359" s="12">
        <v>0</v>
      </c>
      <c r="AD359" s="12">
        <v>0</v>
      </c>
      <c r="AE359" s="12">
        <v>1</v>
      </c>
      <c r="AF359" s="12">
        <v>0</v>
      </c>
      <c r="AG359" s="12">
        <v>1</v>
      </c>
    </row>
    <row r="360" spans="1:33">
      <c r="A360" s="8" t="s">
        <v>771</v>
      </c>
      <c r="B360" s="8" t="s">
        <v>772</v>
      </c>
      <c r="C360" s="9" t="s">
        <v>768</v>
      </c>
      <c r="D360" s="9" t="str">
        <f>VLOOKUP(C360,[1]销售对应表!$C:$J,5,0)</f>
        <v>公安交警行业组</v>
      </c>
      <c r="E360" s="10" t="s">
        <v>36</v>
      </c>
      <c r="F360" s="11">
        <f t="shared" si="5"/>
        <v>7</v>
      </c>
      <c r="G360" s="12">
        <v>1</v>
      </c>
      <c r="H360" s="12">
        <v>1</v>
      </c>
      <c r="I360" s="12">
        <v>0</v>
      </c>
      <c r="J360" s="12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1</v>
      </c>
      <c r="Q360" s="12">
        <v>0</v>
      </c>
      <c r="R360" s="12">
        <v>0</v>
      </c>
      <c r="S360" s="12">
        <v>0</v>
      </c>
      <c r="T360" s="12">
        <v>1</v>
      </c>
      <c r="U360" s="12">
        <v>0</v>
      </c>
      <c r="V360" s="12">
        <v>0</v>
      </c>
      <c r="W360" s="12">
        <v>0</v>
      </c>
      <c r="X360" s="12">
        <v>0</v>
      </c>
      <c r="Y360" s="12">
        <v>1</v>
      </c>
      <c r="Z360" s="12">
        <v>0</v>
      </c>
      <c r="AA360" s="12">
        <v>1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</row>
    <row r="361" spans="1:33">
      <c r="A361" s="8" t="s">
        <v>773</v>
      </c>
      <c r="B361" s="8" t="s">
        <v>774</v>
      </c>
      <c r="C361" s="9" t="s">
        <v>768</v>
      </c>
      <c r="D361" s="9" t="str">
        <f>VLOOKUP(C361,[1]销售对应表!$C:$J,5,0)</f>
        <v>公安交警行业组</v>
      </c>
      <c r="E361" s="10" t="s">
        <v>36</v>
      </c>
      <c r="F361" s="11">
        <f t="shared" si="5"/>
        <v>5</v>
      </c>
      <c r="G361" s="12">
        <v>1</v>
      </c>
      <c r="H361" s="12">
        <v>0</v>
      </c>
      <c r="I361" s="12">
        <v>0</v>
      </c>
      <c r="J361" s="12">
        <v>1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2">
        <v>1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  <c r="V361" s="12">
        <v>0</v>
      </c>
      <c r="W361" s="12">
        <v>1</v>
      </c>
      <c r="X361" s="12">
        <v>0</v>
      </c>
      <c r="Y361" s="12">
        <v>0</v>
      </c>
      <c r="Z361" s="12">
        <v>0</v>
      </c>
      <c r="AA361" s="12">
        <v>1</v>
      </c>
      <c r="AB361" s="12">
        <v>0</v>
      </c>
      <c r="AC361" s="12">
        <v>0</v>
      </c>
      <c r="AD361" s="12">
        <v>0</v>
      </c>
      <c r="AE361" s="12">
        <v>0</v>
      </c>
      <c r="AF361" s="12">
        <v>0</v>
      </c>
      <c r="AG361" s="12">
        <v>0</v>
      </c>
    </row>
    <row r="362" spans="1:33">
      <c r="A362" s="8" t="s">
        <v>775</v>
      </c>
      <c r="B362" s="8" t="s">
        <v>776</v>
      </c>
      <c r="C362" s="9" t="s">
        <v>768</v>
      </c>
      <c r="D362" s="9" t="str">
        <f>VLOOKUP(C362,[1]销售对应表!$C:$J,5,0)</f>
        <v>公安交警行业组</v>
      </c>
      <c r="E362" s="10" t="s">
        <v>36</v>
      </c>
      <c r="F362" s="11">
        <f t="shared" si="5"/>
        <v>6</v>
      </c>
      <c r="G362" s="12">
        <v>1</v>
      </c>
      <c r="H362" s="12">
        <v>1</v>
      </c>
      <c r="I362" s="12">
        <v>0</v>
      </c>
      <c r="J362" s="12">
        <v>0</v>
      </c>
      <c r="K362" s="12">
        <v>1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1</v>
      </c>
      <c r="R362" s="12">
        <v>0</v>
      </c>
      <c r="S362" s="12">
        <v>0</v>
      </c>
      <c r="T362" s="12">
        <v>0</v>
      </c>
      <c r="U362" s="12">
        <v>0</v>
      </c>
      <c r="V362" s="12">
        <v>0</v>
      </c>
      <c r="W362" s="12">
        <v>0</v>
      </c>
      <c r="X362" s="12">
        <v>1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1</v>
      </c>
      <c r="AF362" s="12">
        <v>0</v>
      </c>
      <c r="AG362" s="12">
        <v>0</v>
      </c>
    </row>
    <row r="363" spans="1:33">
      <c r="A363" s="8" t="s">
        <v>777</v>
      </c>
      <c r="B363" s="8" t="s">
        <v>778</v>
      </c>
      <c r="C363" s="9" t="s">
        <v>768</v>
      </c>
      <c r="D363" s="9" t="str">
        <f>VLOOKUP(C363,[1]销售对应表!$C:$J,5,0)</f>
        <v>公安交警行业组</v>
      </c>
      <c r="E363" s="10" t="s">
        <v>36</v>
      </c>
      <c r="F363" s="11">
        <f t="shared" si="5"/>
        <v>6</v>
      </c>
      <c r="G363" s="12">
        <v>1</v>
      </c>
      <c r="H363" s="12">
        <v>1</v>
      </c>
      <c r="I363" s="12">
        <v>0</v>
      </c>
      <c r="J363" s="12">
        <v>0</v>
      </c>
      <c r="K363" s="12">
        <v>0</v>
      </c>
      <c r="L363" s="12">
        <v>0</v>
      </c>
      <c r="M363" s="12">
        <v>0</v>
      </c>
      <c r="N363" s="12">
        <v>0</v>
      </c>
      <c r="O363" s="12">
        <v>0</v>
      </c>
      <c r="P363" s="12">
        <v>0</v>
      </c>
      <c r="Q363" s="12">
        <v>1</v>
      </c>
      <c r="R363" s="12">
        <v>1</v>
      </c>
      <c r="S363" s="12">
        <v>0</v>
      </c>
      <c r="T363" s="12">
        <v>1</v>
      </c>
      <c r="U363" s="12">
        <v>0</v>
      </c>
      <c r="V363" s="12">
        <v>0</v>
      </c>
      <c r="W363" s="12">
        <v>0</v>
      </c>
      <c r="X363" s="12">
        <v>0</v>
      </c>
      <c r="Y363" s="12">
        <v>0</v>
      </c>
      <c r="Z363" s="12">
        <v>0</v>
      </c>
      <c r="AA363" s="12">
        <v>0</v>
      </c>
      <c r="AB363" s="12">
        <v>0</v>
      </c>
      <c r="AC363" s="12">
        <v>0</v>
      </c>
      <c r="AD363" s="12">
        <v>1</v>
      </c>
      <c r="AE363" s="12">
        <v>0</v>
      </c>
      <c r="AF363" s="12">
        <v>0</v>
      </c>
      <c r="AG363" s="12">
        <v>0</v>
      </c>
    </row>
    <row r="364" spans="1:33">
      <c r="A364" s="8" t="s">
        <v>779</v>
      </c>
      <c r="B364" s="8" t="s">
        <v>780</v>
      </c>
      <c r="C364" s="9" t="s">
        <v>768</v>
      </c>
      <c r="D364" s="9" t="str">
        <f>VLOOKUP(C364,[1]销售对应表!$C:$J,5,0)</f>
        <v>公安交警行业组</v>
      </c>
      <c r="E364" s="10" t="s">
        <v>36</v>
      </c>
      <c r="F364" s="11">
        <f t="shared" si="5"/>
        <v>5</v>
      </c>
      <c r="G364" s="12">
        <v>1</v>
      </c>
      <c r="H364" s="12">
        <v>1</v>
      </c>
      <c r="I364" s="12">
        <v>0</v>
      </c>
      <c r="J364" s="12">
        <v>0</v>
      </c>
      <c r="K364" s="12">
        <v>1</v>
      </c>
      <c r="L364" s="12">
        <v>0</v>
      </c>
      <c r="M364" s="12">
        <v>1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12">
        <v>1</v>
      </c>
      <c r="U364" s="12">
        <v>0</v>
      </c>
      <c r="V364" s="12">
        <v>0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</row>
    <row r="365" spans="1:33">
      <c r="A365" s="8" t="s">
        <v>781</v>
      </c>
      <c r="B365" s="8" t="s">
        <v>782</v>
      </c>
      <c r="C365" s="9" t="s">
        <v>768</v>
      </c>
      <c r="D365" s="9" t="str">
        <f>VLOOKUP(C365,[1]销售对应表!$C:$J,5,0)</f>
        <v>公安交警行业组</v>
      </c>
      <c r="E365" s="10" t="s">
        <v>36</v>
      </c>
      <c r="F365" s="11">
        <f t="shared" si="5"/>
        <v>3</v>
      </c>
      <c r="G365" s="12">
        <v>1</v>
      </c>
      <c r="H365" s="12">
        <v>1</v>
      </c>
      <c r="I365" s="12">
        <v>0</v>
      </c>
      <c r="J365" s="12">
        <v>0</v>
      </c>
      <c r="K365" s="12">
        <v>0</v>
      </c>
      <c r="L365" s="12">
        <v>0</v>
      </c>
      <c r="M365" s="12">
        <v>0</v>
      </c>
      <c r="N365" s="12">
        <v>0</v>
      </c>
      <c r="O365" s="12">
        <v>0</v>
      </c>
      <c r="P365" s="12">
        <v>0</v>
      </c>
      <c r="Q365" s="12">
        <v>1</v>
      </c>
      <c r="R365" s="12">
        <v>0</v>
      </c>
      <c r="S365" s="12">
        <v>0</v>
      </c>
      <c r="T365" s="12">
        <v>0</v>
      </c>
      <c r="U365" s="12">
        <v>0</v>
      </c>
      <c r="V365" s="12">
        <v>0</v>
      </c>
      <c r="W365" s="12">
        <v>0</v>
      </c>
      <c r="X365" s="12">
        <v>0</v>
      </c>
      <c r="Y365" s="12">
        <v>0</v>
      </c>
      <c r="Z365" s="12">
        <v>0</v>
      </c>
      <c r="AA365" s="12">
        <v>0</v>
      </c>
      <c r="AB365" s="12">
        <v>0</v>
      </c>
      <c r="AC365" s="12">
        <v>0</v>
      </c>
      <c r="AD365" s="12">
        <v>0</v>
      </c>
      <c r="AE365" s="12">
        <v>0</v>
      </c>
      <c r="AF365" s="12">
        <v>0</v>
      </c>
      <c r="AG365" s="12">
        <v>0</v>
      </c>
    </row>
    <row r="366" spans="1:33">
      <c r="A366" s="8" t="s">
        <v>783</v>
      </c>
      <c r="B366" s="8" t="s">
        <v>784</v>
      </c>
      <c r="C366" s="9" t="s">
        <v>768</v>
      </c>
      <c r="D366" s="9" t="str">
        <f>VLOOKUP(C366,[1]销售对应表!$C:$J,5,0)</f>
        <v>公安交警行业组</v>
      </c>
      <c r="E366" s="10" t="s">
        <v>36</v>
      </c>
      <c r="F366" s="11">
        <f t="shared" si="5"/>
        <v>4</v>
      </c>
      <c r="G366" s="12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1</v>
      </c>
      <c r="O366" s="12">
        <v>0</v>
      </c>
      <c r="P366" s="12">
        <v>0</v>
      </c>
      <c r="Q366" s="12">
        <v>1</v>
      </c>
      <c r="R366" s="12">
        <v>0</v>
      </c>
      <c r="S366" s="12">
        <v>0</v>
      </c>
      <c r="T366" s="12">
        <v>0</v>
      </c>
      <c r="U366" s="12">
        <v>0</v>
      </c>
      <c r="V366" s="12">
        <v>0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1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</row>
    <row r="367" spans="1:33">
      <c r="A367" s="8" t="s">
        <v>785</v>
      </c>
      <c r="B367" s="8" t="s">
        <v>786</v>
      </c>
      <c r="C367" s="9" t="s">
        <v>768</v>
      </c>
      <c r="D367" s="9" t="str">
        <f>VLOOKUP(C367,[1]销售对应表!$C:$J,5,0)</f>
        <v>公安交警行业组</v>
      </c>
      <c r="E367" s="10" t="s">
        <v>41</v>
      </c>
      <c r="F367" s="11">
        <f t="shared" si="5"/>
        <v>3</v>
      </c>
      <c r="G367" s="12">
        <v>0</v>
      </c>
      <c r="H367" s="12">
        <v>0</v>
      </c>
      <c r="I367" s="12">
        <v>1</v>
      </c>
      <c r="J367" s="12">
        <v>0</v>
      </c>
      <c r="K367" s="12">
        <v>0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1</v>
      </c>
      <c r="R367" s="12">
        <v>0</v>
      </c>
      <c r="S367" s="12">
        <v>0</v>
      </c>
      <c r="T367" s="12">
        <v>1</v>
      </c>
      <c r="U367" s="12">
        <v>0</v>
      </c>
      <c r="V367" s="12">
        <v>0</v>
      </c>
      <c r="W367" s="12">
        <v>0</v>
      </c>
      <c r="X367" s="12">
        <v>0</v>
      </c>
      <c r="Y367" s="12">
        <v>0</v>
      </c>
      <c r="Z367" s="12">
        <v>0</v>
      </c>
      <c r="AA367" s="12">
        <v>0</v>
      </c>
      <c r="AB367" s="12">
        <v>0</v>
      </c>
      <c r="AC367" s="12">
        <v>0</v>
      </c>
      <c r="AD367" s="12">
        <v>0</v>
      </c>
      <c r="AE367" s="12">
        <v>0</v>
      </c>
      <c r="AF367" s="12">
        <v>0</v>
      </c>
      <c r="AG367" s="12">
        <v>0</v>
      </c>
    </row>
    <row r="368" spans="1:33">
      <c r="A368" s="8" t="s">
        <v>787</v>
      </c>
      <c r="B368" s="8" t="s">
        <v>788</v>
      </c>
      <c r="C368" s="9" t="s">
        <v>768</v>
      </c>
      <c r="D368" s="9" t="str">
        <f>VLOOKUP(C368,[1]销售对应表!$C:$J,5,0)</f>
        <v>公安交警行业组</v>
      </c>
      <c r="E368" s="10" t="s">
        <v>41</v>
      </c>
      <c r="F368" s="11">
        <f t="shared" si="5"/>
        <v>1</v>
      </c>
      <c r="G368" s="12">
        <v>0</v>
      </c>
      <c r="H368" s="12">
        <v>0</v>
      </c>
      <c r="I368" s="12">
        <v>0</v>
      </c>
      <c r="J368" s="12">
        <v>0</v>
      </c>
      <c r="K368" s="12">
        <v>1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12">
        <v>0</v>
      </c>
      <c r="U368" s="12">
        <v>0</v>
      </c>
      <c r="V368" s="12">
        <v>0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</row>
    <row r="369" spans="1:33">
      <c r="A369" s="8" t="s">
        <v>789</v>
      </c>
      <c r="B369" s="8" t="s">
        <v>790</v>
      </c>
      <c r="C369" s="9" t="s">
        <v>768</v>
      </c>
      <c r="D369" s="9" t="str">
        <f>VLOOKUP(C369,[1]销售对应表!$C:$J,5,0)</f>
        <v>公安交警行业组</v>
      </c>
      <c r="E369" s="10" t="s">
        <v>41</v>
      </c>
      <c r="F369" s="11">
        <f t="shared" si="5"/>
        <v>1</v>
      </c>
      <c r="G369" s="12">
        <v>1</v>
      </c>
      <c r="H369" s="12">
        <v>0</v>
      </c>
      <c r="I369" s="12">
        <v>0</v>
      </c>
      <c r="J369" s="12">
        <v>0</v>
      </c>
      <c r="K369" s="12">
        <v>0</v>
      </c>
      <c r="L369" s="12">
        <v>0</v>
      </c>
      <c r="M369" s="12">
        <v>0</v>
      </c>
      <c r="N369" s="12">
        <v>0</v>
      </c>
      <c r="O369" s="12">
        <v>0</v>
      </c>
      <c r="P369" s="12">
        <v>0</v>
      </c>
      <c r="Q369" s="12">
        <v>0</v>
      </c>
      <c r="R369" s="12">
        <v>0</v>
      </c>
      <c r="S369" s="12">
        <v>0</v>
      </c>
      <c r="T369" s="12">
        <v>0</v>
      </c>
      <c r="U369" s="12">
        <v>0</v>
      </c>
      <c r="V369" s="12">
        <v>0</v>
      </c>
      <c r="W369" s="12">
        <v>0</v>
      </c>
      <c r="X369" s="12">
        <v>0</v>
      </c>
      <c r="Y369" s="12">
        <v>0</v>
      </c>
      <c r="Z369" s="12">
        <v>0</v>
      </c>
      <c r="AA369" s="12">
        <v>0</v>
      </c>
      <c r="AB369" s="12">
        <v>0</v>
      </c>
      <c r="AC369" s="12">
        <v>0</v>
      </c>
      <c r="AD369" s="12">
        <v>0</v>
      </c>
      <c r="AE369" s="12">
        <v>0</v>
      </c>
      <c r="AF369" s="12">
        <v>0</v>
      </c>
      <c r="AG369" s="12">
        <v>0</v>
      </c>
    </row>
    <row r="370" spans="1:33">
      <c r="A370" s="8" t="s">
        <v>791</v>
      </c>
      <c r="B370" s="8" t="s">
        <v>792</v>
      </c>
      <c r="C370" s="9" t="s">
        <v>768</v>
      </c>
      <c r="D370" s="9" t="str">
        <f>VLOOKUP(C370,[1]销售对应表!$C:$J,5,0)</f>
        <v>公安交警行业组</v>
      </c>
      <c r="E370" s="10" t="s">
        <v>41</v>
      </c>
      <c r="F370" s="11">
        <f t="shared" si="5"/>
        <v>1</v>
      </c>
      <c r="G370" s="12">
        <v>0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1</v>
      </c>
      <c r="S370" s="12">
        <v>0</v>
      </c>
      <c r="T370" s="12">
        <v>0</v>
      </c>
      <c r="U370" s="12">
        <v>0</v>
      </c>
      <c r="V370" s="12">
        <v>0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</row>
    <row r="371" spans="1:33">
      <c r="A371" s="8" t="s">
        <v>793</v>
      </c>
      <c r="B371" s="8" t="s">
        <v>794</v>
      </c>
      <c r="C371" s="9" t="s">
        <v>768</v>
      </c>
      <c r="D371" s="9" t="str">
        <f>VLOOKUP(C371,[1]销售对应表!$C:$J,5,0)</f>
        <v>公安交警行业组</v>
      </c>
      <c r="E371" s="10" t="s">
        <v>41</v>
      </c>
      <c r="F371" s="11">
        <f t="shared" si="5"/>
        <v>0</v>
      </c>
      <c r="G371" s="12">
        <v>0</v>
      </c>
      <c r="H371" s="12">
        <v>0</v>
      </c>
      <c r="I371" s="12">
        <v>0</v>
      </c>
      <c r="J371" s="12">
        <v>0</v>
      </c>
      <c r="K371" s="12">
        <v>0</v>
      </c>
      <c r="L371" s="12">
        <v>0</v>
      </c>
      <c r="M371" s="12">
        <v>0</v>
      </c>
      <c r="N371" s="12">
        <v>0</v>
      </c>
      <c r="O371" s="12">
        <v>0</v>
      </c>
      <c r="P371" s="12">
        <v>0</v>
      </c>
      <c r="Q371" s="12">
        <v>0</v>
      </c>
      <c r="R371" s="12">
        <v>0</v>
      </c>
      <c r="S371" s="12">
        <v>0</v>
      </c>
      <c r="T371" s="12">
        <v>0</v>
      </c>
      <c r="U371" s="12">
        <v>0</v>
      </c>
      <c r="V371" s="12">
        <v>0</v>
      </c>
      <c r="W371" s="12">
        <v>0</v>
      </c>
      <c r="X371" s="12">
        <v>0</v>
      </c>
      <c r="Y371" s="12">
        <v>0</v>
      </c>
      <c r="Z371" s="12">
        <v>0</v>
      </c>
      <c r="AA371" s="12">
        <v>0</v>
      </c>
      <c r="AB371" s="12">
        <v>0</v>
      </c>
      <c r="AC371" s="12">
        <v>0</v>
      </c>
      <c r="AD371" s="12">
        <v>0</v>
      </c>
      <c r="AE371" s="12">
        <v>0</v>
      </c>
      <c r="AF371" s="12">
        <v>0</v>
      </c>
      <c r="AG371" s="12">
        <v>0</v>
      </c>
    </row>
    <row r="372" spans="1:33">
      <c r="A372" s="8" t="s">
        <v>795</v>
      </c>
      <c r="B372" s="8" t="s">
        <v>796</v>
      </c>
      <c r="C372" s="9" t="s">
        <v>797</v>
      </c>
      <c r="D372" s="9" t="str">
        <f>VLOOKUP(C372,[1]销售对应表!$C:$J,5,0)</f>
        <v>公安交警行业组</v>
      </c>
      <c r="E372" s="10" t="s">
        <v>36</v>
      </c>
      <c r="F372" s="11">
        <f t="shared" si="5"/>
        <v>8</v>
      </c>
      <c r="G372" s="12">
        <v>1</v>
      </c>
      <c r="H372" s="12">
        <v>0</v>
      </c>
      <c r="I372" s="12">
        <v>0</v>
      </c>
      <c r="J372" s="12">
        <v>1</v>
      </c>
      <c r="K372" s="12">
        <v>1</v>
      </c>
      <c r="L372" s="12">
        <v>0</v>
      </c>
      <c r="M372" s="12">
        <v>0</v>
      </c>
      <c r="N372" s="12">
        <v>1</v>
      </c>
      <c r="O372" s="12">
        <v>0</v>
      </c>
      <c r="P372" s="12">
        <v>1</v>
      </c>
      <c r="Q372" s="12">
        <v>1</v>
      </c>
      <c r="R372" s="12">
        <v>0</v>
      </c>
      <c r="S372" s="12">
        <v>0</v>
      </c>
      <c r="T372" s="12">
        <v>0</v>
      </c>
      <c r="U372" s="12">
        <v>0</v>
      </c>
      <c r="V372" s="12">
        <v>0</v>
      </c>
      <c r="W372" s="12">
        <v>0</v>
      </c>
      <c r="X372" s="12">
        <v>0</v>
      </c>
      <c r="Y372" s="12">
        <v>0</v>
      </c>
      <c r="Z372" s="12">
        <v>0</v>
      </c>
      <c r="AA372" s="12">
        <v>1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1</v>
      </c>
    </row>
    <row r="373" spans="1:33">
      <c r="A373" s="8" t="s">
        <v>798</v>
      </c>
      <c r="B373" s="8" t="s">
        <v>799</v>
      </c>
      <c r="C373" s="9" t="s">
        <v>797</v>
      </c>
      <c r="D373" s="9" t="str">
        <f>VLOOKUP(C373,[1]销售对应表!$C:$J,5,0)</f>
        <v>公安交警行业组</v>
      </c>
      <c r="E373" s="10" t="s">
        <v>36</v>
      </c>
      <c r="F373" s="11">
        <f t="shared" si="5"/>
        <v>7</v>
      </c>
      <c r="G373" s="12">
        <v>0</v>
      </c>
      <c r="H373" s="12">
        <v>1</v>
      </c>
      <c r="I373" s="12">
        <v>0</v>
      </c>
      <c r="J373" s="12">
        <v>1</v>
      </c>
      <c r="K373" s="12">
        <v>0</v>
      </c>
      <c r="L373" s="12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1</v>
      </c>
      <c r="R373" s="12">
        <v>0</v>
      </c>
      <c r="S373" s="12">
        <v>0</v>
      </c>
      <c r="T373" s="12">
        <v>1</v>
      </c>
      <c r="U373" s="12">
        <v>1</v>
      </c>
      <c r="V373" s="12">
        <v>0</v>
      </c>
      <c r="W373" s="12">
        <v>0</v>
      </c>
      <c r="X373" s="12">
        <v>0</v>
      </c>
      <c r="Y373" s="12">
        <v>0</v>
      </c>
      <c r="Z373" s="12">
        <v>0</v>
      </c>
      <c r="AA373" s="12">
        <v>0</v>
      </c>
      <c r="AB373" s="12">
        <v>0</v>
      </c>
      <c r="AC373" s="12">
        <v>1</v>
      </c>
      <c r="AD373" s="12">
        <v>1</v>
      </c>
      <c r="AE373" s="12">
        <v>0</v>
      </c>
      <c r="AF373" s="12">
        <v>0</v>
      </c>
      <c r="AG373" s="12">
        <v>0</v>
      </c>
    </row>
    <row r="374" spans="1:33">
      <c r="A374" s="8" t="s">
        <v>800</v>
      </c>
      <c r="B374" s="8" t="s">
        <v>801</v>
      </c>
      <c r="C374" s="9" t="s">
        <v>797</v>
      </c>
      <c r="D374" s="9" t="str">
        <f>VLOOKUP(C374,[1]销售对应表!$C:$J,5,0)</f>
        <v>公安交警行业组</v>
      </c>
      <c r="E374" s="10" t="s">
        <v>36</v>
      </c>
      <c r="F374" s="11">
        <f t="shared" si="5"/>
        <v>5</v>
      </c>
      <c r="G374" s="12">
        <v>1</v>
      </c>
      <c r="H374" s="12">
        <v>1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1</v>
      </c>
      <c r="O374" s="12">
        <v>0</v>
      </c>
      <c r="P374" s="12">
        <v>0</v>
      </c>
      <c r="Q374" s="12">
        <v>1</v>
      </c>
      <c r="R374" s="12">
        <v>0</v>
      </c>
      <c r="S374" s="12">
        <v>0</v>
      </c>
      <c r="T374" s="12">
        <v>0</v>
      </c>
      <c r="U374" s="12">
        <v>0</v>
      </c>
      <c r="V374" s="12">
        <v>0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1</v>
      </c>
      <c r="AD374" s="12">
        <v>0</v>
      </c>
      <c r="AE374" s="12">
        <v>0</v>
      </c>
      <c r="AF374" s="12">
        <v>0</v>
      </c>
      <c r="AG374" s="12">
        <v>0</v>
      </c>
    </row>
    <row r="375" spans="1:33">
      <c r="A375" s="8" t="s">
        <v>802</v>
      </c>
      <c r="B375" s="8" t="s">
        <v>803</v>
      </c>
      <c r="C375" s="9" t="s">
        <v>797</v>
      </c>
      <c r="D375" s="9" t="str">
        <f>VLOOKUP(C375,[1]销售对应表!$C:$J,5,0)</f>
        <v>公安交警行业组</v>
      </c>
      <c r="E375" s="10" t="s">
        <v>36</v>
      </c>
      <c r="F375" s="11">
        <f t="shared" si="5"/>
        <v>6</v>
      </c>
      <c r="G375" s="12">
        <v>0</v>
      </c>
      <c r="H375" s="12">
        <v>1</v>
      </c>
      <c r="I375" s="12">
        <v>0</v>
      </c>
      <c r="J375" s="12">
        <v>1</v>
      </c>
      <c r="K375" s="12">
        <v>1</v>
      </c>
      <c r="L375" s="12">
        <v>0</v>
      </c>
      <c r="M375" s="12">
        <v>0</v>
      </c>
      <c r="N375" s="12">
        <v>1</v>
      </c>
      <c r="O375" s="12">
        <v>0</v>
      </c>
      <c r="P375" s="12">
        <v>0</v>
      </c>
      <c r="Q375" s="12">
        <v>1</v>
      </c>
      <c r="R375" s="12">
        <v>0</v>
      </c>
      <c r="S375" s="12">
        <v>0</v>
      </c>
      <c r="T375" s="12">
        <v>0</v>
      </c>
      <c r="U375" s="12">
        <v>0</v>
      </c>
      <c r="V375" s="12">
        <v>0</v>
      </c>
      <c r="W375" s="12">
        <v>0</v>
      </c>
      <c r="X375" s="12">
        <v>0</v>
      </c>
      <c r="Y375" s="12">
        <v>0</v>
      </c>
      <c r="Z375" s="12">
        <v>0</v>
      </c>
      <c r="AA375" s="12">
        <v>0</v>
      </c>
      <c r="AB375" s="12">
        <v>0</v>
      </c>
      <c r="AC375" s="12">
        <v>1</v>
      </c>
      <c r="AD375" s="12">
        <v>0</v>
      </c>
      <c r="AE375" s="12">
        <v>0</v>
      </c>
      <c r="AF375" s="12">
        <v>0</v>
      </c>
      <c r="AG375" s="12">
        <v>0</v>
      </c>
    </row>
    <row r="376" spans="1:33">
      <c r="A376" s="8" t="s">
        <v>804</v>
      </c>
      <c r="B376" s="8" t="s">
        <v>805</v>
      </c>
      <c r="C376" s="9" t="s">
        <v>797</v>
      </c>
      <c r="D376" s="9" t="str">
        <f>VLOOKUP(C376,[1]销售对应表!$C:$J,5,0)</f>
        <v>公安交警行业组</v>
      </c>
      <c r="E376" s="10" t="s">
        <v>36</v>
      </c>
      <c r="F376" s="11">
        <f t="shared" si="5"/>
        <v>5</v>
      </c>
      <c r="G376" s="12">
        <v>1</v>
      </c>
      <c r="H376" s="12">
        <v>1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1</v>
      </c>
      <c r="P376" s="12">
        <v>0</v>
      </c>
      <c r="Q376" s="12">
        <v>1</v>
      </c>
      <c r="R376" s="12">
        <v>0</v>
      </c>
      <c r="S376" s="12">
        <v>0</v>
      </c>
      <c r="T376" s="12">
        <v>1</v>
      </c>
      <c r="U376" s="12">
        <v>0</v>
      </c>
      <c r="V376" s="12">
        <v>0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</row>
    <row r="377" spans="1:33">
      <c r="A377" s="8" t="s">
        <v>806</v>
      </c>
      <c r="B377" s="8" t="s">
        <v>807</v>
      </c>
      <c r="C377" s="9" t="s">
        <v>797</v>
      </c>
      <c r="D377" s="9" t="str">
        <f>VLOOKUP(C377,[1]销售对应表!$C:$J,5,0)</f>
        <v>公安交警行业组</v>
      </c>
      <c r="E377" s="10" t="s">
        <v>36</v>
      </c>
      <c r="F377" s="11">
        <f t="shared" si="5"/>
        <v>4</v>
      </c>
      <c r="G377" s="12">
        <v>0</v>
      </c>
      <c r="H377" s="12">
        <v>1</v>
      </c>
      <c r="I377" s="12">
        <v>0</v>
      </c>
      <c r="J377" s="12">
        <v>0</v>
      </c>
      <c r="K377" s="12">
        <v>0</v>
      </c>
      <c r="L377" s="12">
        <v>0</v>
      </c>
      <c r="M377" s="12">
        <v>0</v>
      </c>
      <c r="N377" s="12">
        <v>1</v>
      </c>
      <c r="O377" s="12">
        <v>0</v>
      </c>
      <c r="P377" s="12">
        <v>1</v>
      </c>
      <c r="Q377" s="12">
        <v>1</v>
      </c>
      <c r="R377" s="12">
        <v>0</v>
      </c>
      <c r="S377" s="12">
        <v>0</v>
      </c>
      <c r="T377" s="12">
        <v>0</v>
      </c>
      <c r="U377" s="12">
        <v>0</v>
      </c>
      <c r="V377" s="12">
        <v>0</v>
      </c>
      <c r="W377" s="12">
        <v>0</v>
      </c>
      <c r="X377" s="12">
        <v>0</v>
      </c>
      <c r="Y377" s="12">
        <v>0</v>
      </c>
      <c r="Z377" s="12">
        <v>0</v>
      </c>
      <c r="AA377" s="12">
        <v>0</v>
      </c>
      <c r="AB377" s="12">
        <v>0</v>
      </c>
      <c r="AC377" s="12">
        <v>0</v>
      </c>
      <c r="AD377" s="12">
        <v>0</v>
      </c>
      <c r="AE377" s="12">
        <v>0</v>
      </c>
      <c r="AF377" s="12">
        <v>0</v>
      </c>
      <c r="AG377" s="12">
        <v>0</v>
      </c>
    </row>
    <row r="378" spans="1:33">
      <c r="A378" s="8" t="s">
        <v>808</v>
      </c>
      <c r="B378" s="8" t="s">
        <v>809</v>
      </c>
      <c r="C378" s="9" t="s">
        <v>797</v>
      </c>
      <c r="D378" s="9" t="str">
        <f>VLOOKUP(C378,[1]销售对应表!$C:$J,5,0)</f>
        <v>公安交警行业组</v>
      </c>
      <c r="E378" s="10" t="s">
        <v>41</v>
      </c>
      <c r="F378" s="11">
        <f t="shared" si="5"/>
        <v>4</v>
      </c>
      <c r="G378" s="12">
        <v>1</v>
      </c>
      <c r="H378" s="12">
        <v>1</v>
      </c>
      <c r="I378" s="12">
        <v>0</v>
      </c>
      <c r="J378" s="12">
        <v>0</v>
      </c>
      <c r="K378" s="12">
        <v>0</v>
      </c>
      <c r="L378" s="12">
        <v>0</v>
      </c>
      <c r="M378" s="12">
        <v>1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12">
        <v>1</v>
      </c>
      <c r="U378" s="12">
        <v>0</v>
      </c>
      <c r="V378" s="12">
        <v>0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</row>
    <row r="379" spans="1:33">
      <c r="A379" s="8" t="s">
        <v>810</v>
      </c>
      <c r="B379" s="8" t="s">
        <v>811</v>
      </c>
      <c r="C379" s="9" t="s">
        <v>797</v>
      </c>
      <c r="D379" s="9" t="str">
        <f>VLOOKUP(C379,[1]销售对应表!$C:$J,5,0)</f>
        <v>公安交警行业组</v>
      </c>
      <c r="E379" s="10" t="s">
        <v>36</v>
      </c>
      <c r="F379" s="11">
        <f t="shared" si="5"/>
        <v>3</v>
      </c>
      <c r="G379" s="12">
        <v>0</v>
      </c>
      <c r="H379" s="12">
        <v>0</v>
      </c>
      <c r="I379" s="12">
        <v>0</v>
      </c>
      <c r="J379" s="12">
        <v>0</v>
      </c>
      <c r="K379" s="12">
        <v>0</v>
      </c>
      <c r="L379" s="12">
        <v>0</v>
      </c>
      <c r="M379" s="12">
        <v>0</v>
      </c>
      <c r="N379" s="12">
        <v>0</v>
      </c>
      <c r="O379" s="12">
        <v>1</v>
      </c>
      <c r="P379" s="12">
        <v>1</v>
      </c>
      <c r="Q379" s="12">
        <v>0</v>
      </c>
      <c r="R379" s="12">
        <v>0</v>
      </c>
      <c r="S379" s="12">
        <v>0</v>
      </c>
      <c r="T379" s="12">
        <v>0</v>
      </c>
      <c r="U379" s="12">
        <v>0</v>
      </c>
      <c r="V379" s="12">
        <v>0</v>
      </c>
      <c r="W379" s="12">
        <v>0</v>
      </c>
      <c r="X379" s="12">
        <v>0</v>
      </c>
      <c r="Y379" s="12">
        <v>0</v>
      </c>
      <c r="Z379" s="12">
        <v>0</v>
      </c>
      <c r="AA379" s="12">
        <v>0</v>
      </c>
      <c r="AB379" s="12">
        <v>0</v>
      </c>
      <c r="AC379" s="12">
        <v>0</v>
      </c>
      <c r="AD379" s="12">
        <v>1</v>
      </c>
      <c r="AE379" s="12">
        <v>0</v>
      </c>
      <c r="AF379" s="12">
        <v>0</v>
      </c>
      <c r="AG379" s="12">
        <v>0</v>
      </c>
    </row>
    <row r="380" spans="1:33">
      <c r="A380" s="8" t="s">
        <v>812</v>
      </c>
      <c r="B380" s="8" t="s">
        <v>813</v>
      </c>
      <c r="C380" s="9" t="s">
        <v>797</v>
      </c>
      <c r="D380" s="9" t="str">
        <f>VLOOKUP(C380,[1]销售对应表!$C:$J,5,0)</f>
        <v>公安交警行业组</v>
      </c>
      <c r="E380" s="10" t="s">
        <v>41</v>
      </c>
      <c r="F380" s="11">
        <f t="shared" si="5"/>
        <v>1</v>
      </c>
      <c r="G380" s="12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12">
        <v>0</v>
      </c>
      <c r="U380" s="12">
        <v>0</v>
      </c>
      <c r="V380" s="12">
        <v>0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</row>
    <row r="381" spans="1:33">
      <c r="A381" s="8" t="s">
        <v>814</v>
      </c>
      <c r="B381" s="8" t="s">
        <v>815</v>
      </c>
      <c r="C381" s="9" t="s">
        <v>797</v>
      </c>
      <c r="D381" s="9" t="str">
        <f>VLOOKUP(C381,[1]销售对应表!$C:$J,5,0)</f>
        <v>公安交警行业组</v>
      </c>
      <c r="E381" s="10" t="s">
        <v>41</v>
      </c>
      <c r="F381" s="11">
        <f t="shared" si="5"/>
        <v>1</v>
      </c>
      <c r="G381" s="12">
        <v>0</v>
      </c>
      <c r="H381" s="12">
        <v>0</v>
      </c>
      <c r="I381" s="12">
        <v>0</v>
      </c>
      <c r="J381" s="12">
        <v>0</v>
      </c>
      <c r="K381" s="12">
        <v>0</v>
      </c>
      <c r="L381" s="12">
        <v>0</v>
      </c>
      <c r="M381" s="12">
        <v>0</v>
      </c>
      <c r="N381" s="12">
        <v>0</v>
      </c>
      <c r="O381" s="12">
        <v>0</v>
      </c>
      <c r="P381" s="12">
        <v>1</v>
      </c>
      <c r="Q381" s="12">
        <v>0</v>
      </c>
      <c r="R381" s="12">
        <v>0</v>
      </c>
      <c r="S381" s="12">
        <v>0</v>
      </c>
      <c r="T381" s="12">
        <v>0</v>
      </c>
      <c r="U381" s="12">
        <v>0</v>
      </c>
      <c r="V381" s="12">
        <v>0</v>
      </c>
      <c r="W381" s="12">
        <v>0</v>
      </c>
      <c r="X381" s="12">
        <v>0</v>
      </c>
      <c r="Y381" s="12">
        <v>0</v>
      </c>
      <c r="Z381" s="12">
        <v>0</v>
      </c>
      <c r="AA381" s="12">
        <v>0</v>
      </c>
      <c r="AB381" s="12">
        <v>0</v>
      </c>
      <c r="AC381" s="12">
        <v>0</v>
      </c>
      <c r="AD381" s="12">
        <v>0</v>
      </c>
      <c r="AE381" s="12">
        <v>0</v>
      </c>
      <c r="AF381" s="12">
        <v>0</v>
      </c>
      <c r="AG381" s="12">
        <v>0</v>
      </c>
    </row>
    <row r="382" spans="1:33">
      <c r="A382" s="8" t="s">
        <v>816</v>
      </c>
      <c r="B382" s="8" t="s">
        <v>817</v>
      </c>
      <c r="C382" s="9" t="s">
        <v>797</v>
      </c>
      <c r="D382" s="9" t="str">
        <f>VLOOKUP(C382,[1]销售对应表!$C:$J,5,0)</f>
        <v>公安交警行业组</v>
      </c>
      <c r="E382" s="10" t="s">
        <v>41</v>
      </c>
      <c r="F382" s="11">
        <f t="shared" si="5"/>
        <v>1</v>
      </c>
      <c r="G382" s="12">
        <v>0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12">
        <v>1</v>
      </c>
      <c r="U382" s="12">
        <v>0</v>
      </c>
      <c r="V382" s="12">
        <v>0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</row>
    <row r="383" spans="1:33">
      <c r="A383" s="8" t="s">
        <v>818</v>
      </c>
      <c r="B383" s="8" t="s">
        <v>819</v>
      </c>
      <c r="C383" s="9" t="s">
        <v>797</v>
      </c>
      <c r="D383" s="9" t="str">
        <f>VLOOKUP(C383,[1]销售对应表!$C:$J,5,0)</f>
        <v>公安交警行业组</v>
      </c>
      <c r="E383" s="10" t="s">
        <v>36</v>
      </c>
      <c r="F383" s="11">
        <f t="shared" si="5"/>
        <v>1</v>
      </c>
      <c r="G383" s="12">
        <v>0</v>
      </c>
      <c r="H383" s="12">
        <v>0</v>
      </c>
      <c r="I383" s="12">
        <v>0</v>
      </c>
      <c r="J383" s="12">
        <v>0</v>
      </c>
      <c r="K383" s="12">
        <v>0</v>
      </c>
      <c r="L383" s="12">
        <v>0</v>
      </c>
      <c r="M383" s="12">
        <v>0</v>
      </c>
      <c r="N383" s="12">
        <v>0</v>
      </c>
      <c r="O383" s="12">
        <v>0</v>
      </c>
      <c r="P383" s="12">
        <v>0</v>
      </c>
      <c r="Q383" s="12">
        <v>1</v>
      </c>
      <c r="R383" s="12">
        <v>0</v>
      </c>
      <c r="S383" s="12">
        <v>0</v>
      </c>
      <c r="T383" s="12">
        <v>0</v>
      </c>
      <c r="U383" s="12">
        <v>0</v>
      </c>
      <c r="V383" s="12">
        <v>0</v>
      </c>
      <c r="W383" s="12">
        <v>0</v>
      </c>
      <c r="X383" s="12">
        <v>0</v>
      </c>
      <c r="Y383" s="12">
        <v>0</v>
      </c>
      <c r="Z383" s="12">
        <v>0</v>
      </c>
      <c r="AA383" s="12">
        <v>0</v>
      </c>
      <c r="AB383" s="12">
        <v>0</v>
      </c>
      <c r="AC383" s="12">
        <v>0</v>
      </c>
      <c r="AD383" s="12">
        <v>0</v>
      </c>
      <c r="AE383" s="12">
        <v>0</v>
      </c>
      <c r="AF383" s="12">
        <v>0</v>
      </c>
      <c r="AG383" s="12">
        <v>0</v>
      </c>
    </row>
    <row r="384" spans="1:33">
      <c r="A384" s="8" t="s">
        <v>820</v>
      </c>
      <c r="B384" s="8" t="s">
        <v>821</v>
      </c>
      <c r="C384" s="9" t="s">
        <v>822</v>
      </c>
      <c r="D384" s="9" t="str">
        <f>VLOOKUP(C384,[1]销售对应表!$C:$J,5,0)</f>
        <v>公安交警行业组</v>
      </c>
      <c r="E384" s="10" t="s">
        <v>36</v>
      </c>
      <c r="F384" s="11">
        <f t="shared" si="5"/>
        <v>10</v>
      </c>
      <c r="G384" s="12">
        <v>1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1</v>
      </c>
      <c r="N384" s="12">
        <v>1</v>
      </c>
      <c r="O384" s="12">
        <v>0</v>
      </c>
      <c r="P384" s="12">
        <v>1</v>
      </c>
      <c r="Q384" s="12">
        <v>0</v>
      </c>
      <c r="R384" s="12">
        <v>0</v>
      </c>
      <c r="S384" s="12">
        <v>0</v>
      </c>
      <c r="T384" s="12">
        <v>1</v>
      </c>
      <c r="U384" s="12">
        <v>1</v>
      </c>
      <c r="V384" s="12">
        <v>0</v>
      </c>
      <c r="W384" s="12">
        <v>1</v>
      </c>
      <c r="X384" s="12">
        <v>1</v>
      </c>
      <c r="Y384" s="12">
        <v>0</v>
      </c>
      <c r="Z384" s="12">
        <v>0</v>
      </c>
      <c r="AA384" s="12">
        <v>0</v>
      </c>
      <c r="AB384" s="12">
        <v>1</v>
      </c>
      <c r="AC384" s="12">
        <v>0</v>
      </c>
      <c r="AD384" s="12">
        <v>0</v>
      </c>
      <c r="AE384" s="12">
        <v>0</v>
      </c>
      <c r="AF384" s="12">
        <v>0</v>
      </c>
      <c r="AG384" s="12">
        <v>1</v>
      </c>
    </row>
    <row r="385" spans="1:33">
      <c r="A385" s="8" t="s">
        <v>823</v>
      </c>
      <c r="B385" s="8" t="s">
        <v>824</v>
      </c>
      <c r="C385" s="9" t="s">
        <v>822</v>
      </c>
      <c r="D385" s="9" t="str">
        <f>VLOOKUP(C385,[1]销售对应表!$C:$J,5,0)</f>
        <v>公安交警行业组</v>
      </c>
      <c r="E385" s="10" t="s">
        <v>36</v>
      </c>
      <c r="F385" s="11">
        <f t="shared" ref="F385:F396" si="6">SUM(G385:AG385)</f>
        <v>9</v>
      </c>
      <c r="G385" s="12">
        <v>1</v>
      </c>
      <c r="H385" s="12">
        <v>1</v>
      </c>
      <c r="I385" s="12">
        <v>0</v>
      </c>
      <c r="J385" s="12">
        <v>0</v>
      </c>
      <c r="K385" s="12">
        <v>1</v>
      </c>
      <c r="L385" s="12">
        <v>0</v>
      </c>
      <c r="M385" s="12">
        <v>1</v>
      </c>
      <c r="N385" s="12">
        <v>0</v>
      </c>
      <c r="O385" s="12">
        <v>0</v>
      </c>
      <c r="P385" s="12">
        <v>0</v>
      </c>
      <c r="Q385" s="12">
        <v>0</v>
      </c>
      <c r="R385" s="12">
        <v>0</v>
      </c>
      <c r="S385" s="12">
        <v>0</v>
      </c>
      <c r="T385" s="12">
        <v>0</v>
      </c>
      <c r="U385" s="12">
        <v>1</v>
      </c>
      <c r="V385" s="12">
        <v>0</v>
      </c>
      <c r="W385" s="12">
        <v>0</v>
      </c>
      <c r="X385" s="12">
        <v>0</v>
      </c>
      <c r="Y385" s="12">
        <v>0</v>
      </c>
      <c r="Z385" s="12">
        <v>0</v>
      </c>
      <c r="AA385" s="12">
        <v>0</v>
      </c>
      <c r="AB385" s="12">
        <v>1</v>
      </c>
      <c r="AC385" s="12">
        <v>0</v>
      </c>
      <c r="AD385" s="12">
        <v>1</v>
      </c>
      <c r="AE385" s="12">
        <v>0</v>
      </c>
      <c r="AF385" s="12">
        <v>1</v>
      </c>
      <c r="AG385" s="12">
        <v>1</v>
      </c>
    </row>
    <row r="386" spans="1:33">
      <c r="A386" s="8" t="s">
        <v>825</v>
      </c>
      <c r="B386" s="8" t="s">
        <v>826</v>
      </c>
      <c r="C386" s="9" t="s">
        <v>822</v>
      </c>
      <c r="D386" s="9" t="str">
        <f>VLOOKUP(C386,[1]销售对应表!$C:$J,5,0)</f>
        <v>公安交警行业组</v>
      </c>
      <c r="E386" s="10" t="s">
        <v>36</v>
      </c>
      <c r="F386" s="11">
        <f t="shared" si="6"/>
        <v>9</v>
      </c>
      <c r="G386" s="12">
        <v>1</v>
      </c>
      <c r="H386" s="12">
        <v>1</v>
      </c>
      <c r="I386" s="12">
        <v>0</v>
      </c>
      <c r="J386" s="12">
        <v>1</v>
      </c>
      <c r="K386" s="12">
        <v>1</v>
      </c>
      <c r="L386" s="12">
        <v>1</v>
      </c>
      <c r="M386" s="12">
        <v>0</v>
      </c>
      <c r="N386" s="12">
        <v>0</v>
      </c>
      <c r="O386" s="12">
        <v>0</v>
      </c>
      <c r="P386" s="12">
        <v>1</v>
      </c>
      <c r="Q386" s="12">
        <v>0</v>
      </c>
      <c r="R386" s="12">
        <v>0</v>
      </c>
      <c r="S386" s="12">
        <v>0</v>
      </c>
      <c r="T386" s="12">
        <v>1</v>
      </c>
      <c r="U386" s="12">
        <v>0</v>
      </c>
      <c r="V386" s="12">
        <v>1</v>
      </c>
      <c r="W386" s="12">
        <v>0</v>
      </c>
      <c r="X386" s="12">
        <v>1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</row>
    <row r="387" spans="1:33">
      <c r="A387" s="8" t="s">
        <v>827</v>
      </c>
      <c r="B387" s="8" t="s">
        <v>828</v>
      </c>
      <c r="C387" s="9" t="s">
        <v>822</v>
      </c>
      <c r="D387" s="9" t="str">
        <f>VLOOKUP(C387,[1]销售对应表!$C:$J,5,0)</f>
        <v>公安交警行业组</v>
      </c>
      <c r="E387" s="10" t="s">
        <v>36</v>
      </c>
      <c r="F387" s="11">
        <f t="shared" si="6"/>
        <v>6</v>
      </c>
      <c r="G387" s="12">
        <v>1</v>
      </c>
      <c r="H387" s="12">
        <v>1</v>
      </c>
      <c r="I387" s="12">
        <v>0</v>
      </c>
      <c r="J387" s="12">
        <v>0</v>
      </c>
      <c r="K387" s="12">
        <v>1</v>
      </c>
      <c r="L387" s="12">
        <v>0</v>
      </c>
      <c r="M387" s="12">
        <v>1</v>
      </c>
      <c r="N387" s="12">
        <v>0</v>
      </c>
      <c r="O387" s="12">
        <v>0</v>
      </c>
      <c r="P387" s="12">
        <v>0</v>
      </c>
      <c r="Q387" s="12">
        <v>0</v>
      </c>
      <c r="R387" s="12">
        <v>0</v>
      </c>
      <c r="S387" s="12">
        <v>0</v>
      </c>
      <c r="T387" s="12">
        <v>1</v>
      </c>
      <c r="U387" s="12">
        <v>0</v>
      </c>
      <c r="V387" s="12">
        <v>0</v>
      </c>
      <c r="W387" s="12">
        <v>0</v>
      </c>
      <c r="X387" s="12">
        <v>0</v>
      </c>
      <c r="Y387" s="12">
        <v>0</v>
      </c>
      <c r="Z387" s="12">
        <v>0</v>
      </c>
      <c r="AA387" s="12">
        <v>1</v>
      </c>
      <c r="AB387" s="12">
        <v>0</v>
      </c>
      <c r="AC387" s="12">
        <v>0</v>
      </c>
      <c r="AD387" s="12">
        <v>0</v>
      </c>
      <c r="AE387" s="12">
        <v>0</v>
      </c>
      <c r="AF387" s="12">
        <v>0</v>
      </c>
      <c r="AG387" s="12">
        <v>0</v>
      </c>
    </row>
    <row r="388" spans="1:33">
      <c r="A388" s="8" t="s">
        <v>829</v>
      </c>
      <c r="B388" s="8" t="s">
        <v>830</v>
      </c>
      <c r="C388" s="9" t="s">
        <v>822</v>
      </c>
      <c r="D388" s="9" t="str">
        <f>VLOOKUP(C388,[1]销售对应表!$C:$J,5,0)</f>
        <v>公安交警行业组</v>
      </c>
      <c r="E388" s="10" t="s">
        <v>36</v>
      </c>
      <c r="F388" s="11">
        <f t="shared" si="6"/>
        <v>6</v>
      </c>
      <c r="G388" s="12">
        <v>1</v>
      </c>
      <c r="H388" s="12">
        <v>1</v>
      </c>
      <c r="I388" s="12">
        <v>0</v>
      </c>
      <c r="J388" s="12">
        <v>0</v>
      </c>
      <c r="K388" s="12">
        <v>0</v>
      </c>
      <c r="L388" s="12">
        <v>1</v>
      </c>
      <c r="M388" s="12">
        <v>1</v>
      </c>
      <c r="N388" s="12">
        <v>0</v>
      </c>
      <c r="O388" s="12">
        <v>0</v>
      </c>
      <c r="P388" s="12">
        <v>0</v>
      </c>
      <c r="Q388" s="12">
        <v>1</v>
      </c>
      <c r="R388" s="12">
        <v>0</v>
      </c>
      <c r="S388" s="12">
        <v>0</v>
      </c>
      <c r="T388" s="12">
        <v>1</v>
      </c>
      <c r="U388" s="12">
        <v>0</v>
      </c>
      <c r="V388" s="12">
        <v>0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</row>
    <row r="389" spans="1:33">
      <c r="A389" s="8" t="s">
        <v>831</v>
      </c>
      <c r="B389" s="8" t="s">
        <v>832</v>
      </c>
      <c r="C389" s="9" t="s">
        <v>822</v>
      </c>
      <c r="D389" s="9" t="str">
        <f>VLOOKUP(C389,[1]销售对应表!$C:$J,5,0)</f>
        <v>公安交警行业组</v>
      </c>
      <c r="E389" s="10" t="s">
        <v>36</v>
      </c>
      <c r="F389" s="11">
        <f t="shared" si="6"/>
        <v>7</v>
      </c>
      <c r="G389" s="12">
        <v>1</v>
      </c>
      <c r="H389" s="12">
        <v>1</v>
      </c>
      <c r="I389" s="12">
        <v>0</v>
      </c>
      <c r="J389" s="12">
        <v>1</v>
      </c>
      <c r="K389" s="12">
        <v>0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1</v>
      </c>
      <c r="R389" s="12">
        <v>0</v>
      </c>
      <c r="S389" s="12">
        <v>0</v>
      </c>
      <c r="T389" s="12">
        <v>0</v>
      </c>
      <c r="U389" s="12">
        <v>0</v>
      </c>
      <c r="V389" s="12">
        <v>0</v>
      </c>
      <c r="W389" s="12">
        <v>0</v>
      </c>
      <c r="X389" s="12">
        <v>0</v>
      </c>
      <c r="Y389" s="12">
        <v>0</v>
      </c>
      <c r="Z389" s="12">
        <v>0</v>
      </c>
      <c r="AA389" s="12">
        <v>1</v>
      </c>
      <c r="AB389" s="12">
        <v>0</v>
      </c>
      <c r="AC389" s="12">
        <v>1</v>
      </c>
      <c r="AD389" s="12">
        <v>0</v>
      </c>
      <c r="AE389" s="12">
        <v>0</v>
      </c>
      <c r="AF389" s="12">
        <v>1</v>
      </c>
      <c r="AG389" s="12">
        <v>0</v>
      </c>
    </row>
    <row r="390" spans="1:33">
      <c r="A390" s="8" t="s">
        <v>833</v>
      </c>
      <c r="B390" s="8" t="s">
        <v>834</v>
      </c>
      <c r="C390" s="9" t="s">
        <v>822</v>
      </c>
      <c r="D390" s="9" t="str">
        <f>VLOOKUP(C390,[1]销售对应表!$C:$J,5,0)</f>
        <v>公安交警行业组</v>
      </c>
      <c r="E390" s="10" t="s">
        <v>36</v>
      </c>
      <c r="F390" s="11">
        <f t="shared" si="6"/>
        <v>5</v>
      </c>
      <c r="G390" s="12">
        <v>1</v>
      </c>
      <c r="H390" s="12">
        <v>1</v>
      </c>
      <c r="I390" s="12">
        <v>0</v>
      </c>
      <c r="J390" s="12">
        <v>0</v>
      </c>
      <c r="K390" s="12">
        <v>0</v>
      </c>
      <c r="L390" s="12">
        <v>0</v>
      </c>
      <c r="M390" s="12">
        <v>1</v>
      </c>
      <c r="N390" s="12">
        <v>0</v>
      </c>
      <c r="O390" s="12">
        <v>0</v>
      </c>
      <c r="P390" s="12">
        <v>0</v>
      </c>
      <c r="Q390" s="12">
        <v>1</v>
      </c>
      <c r="R390" s="12">
        <v>0</v>
      </c>
      <c r="S390" s="12">
        <v>0</v>
      </c>
      <c r="T390" s="12">
        <v>0</v>
      </c>
      <c r="U390" s="12">
        <v>0</v>
      </c>
      <c r="V390" s="12">
        <v>0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1</v>
      </c>
      <c r="AE390" s="12">
        <v>0</v>
      </c>
      <c r="AF390" s="12">
        <v>0</v>
      </c>
      <c r="AG390" s="12">
        <v>0</v>
      </c>
    </row>
    <row r="391" spans="1:33">
      <c r="A391" s="8" t="s">
        <v>835</v>
      </c>
      <c r="B391" s="8" t="s">
        <v>836</v>
      </c>
      <c r="C391" s="9" t="s">
        <v>822</v>
      </c>
      <c r="D391" s="9" t="str">
        <f>VLOOKUP(C391,[1]销售对应表!$C:$J,5,0)</f>
        <v>公安交警行业组</v>
      </c>
      <c r="E391" s="10" t="s">
        <v>36</v>
      </c>
      <c r="F391" s="11">
        <f t="shared" si="6"/>
        <v>2</v>
      </c>
      <c r="G391" s="12">
        <v>0</v>
      </c>
      <c r="H391" s="12">
        <v>1</v>
      </c>
      <c r="I391" s="12">
        <v>0</v>
      </c>
      <c r="J391" s="12">
        <v>0</v>
      </c>
      <c r="K391" s="12">
        <v>0</v>
      </c>
      <c r="L391" s="12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1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  <c r="X391" s="12">
        <v>0</v>
      </c>
      <c r="Y391" s="12">
        <v>0</v>
      </c>
      <c r="Z391" s="12">
        <v>0</v>
      </c>
      <c r="AA391" s="12">
        <v>0</v>
      </c>
      <c r="AB391" s="12">
        <v>0</v>
      </c>
      <c r="AC391" s="12">
        <v>0</v>
      </c>
      <c r="AD391" s="12">
        <v>0</v>
      </c>
      <c r="AE391" s="12">
        <v>0</v>
      </c>
      <c r="AF391" s="12">
        <v>0</v>
      </c>
      <c r="AG391" s="12">
        <v>0</v>
      </c>
    </row>
    <row r="392" spans="1:33">
      <c r="A392" s="8" t="s">
        <v>837</v>
      </c>
      <c r="B392" s="8" t="s">
        <v>838</v>
      </c>
      <c r="C392" s="9" t="s">
        <v>822</v>
      </c>
      <c r="D392" s="9" t="str">
        <f>VLOOKUP(C392,[1]销售对应表!$C:$J,5,0)</f>
        <v>公安交警行业组</v>
      </c>
      <c r="E392" s="10" t="s">
        <v>41</v>
      </c>
      <c r="F392" s="11">
        <f t="shared" si="6"/>
        <v>2</v>
      </c>
      <c r="G392" s="12">
        <v>1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1</v>
      </c>
      <c r="U392" s="12">
        <v>0</v>
      </c>
      <c r="V392" s="12">
        <v>0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</row>
    <row r="393" spans="1:33">
      <c r="A393" s="8" t="s">
        <v>839</v>
      </c>
      <c r="B393" s="8" t="s">
        <v>840</v>
      </c>
      <c r="C393" s="9" t="s">
        <v>822</v>
      </c>
      <c r="D393" s="9" t="str">
        <f>VLOOKUP(C393,[1]销售对应表!$C:$J,5,0)</f>
        <v>公安交警行业组</v>
      </c>
      <c r="E393" s="10" t="s">
        <v>41</v>
      </c>
      <c r="F393" s="11">
        <f t="shared" si="6"/>
        <v>2</v>
      </c>
      <c r="G393" s="12">
        <v>1</v>
      </c>
      <c r="H393" s="12">
        <v>0</v>
      </c>
      <c r="I393" s="12">
        <v>1</v>
      </c>
      <c r="J393" s="12">
        <v>0</v>
      </c>
      <c r="K393" s="12">
        <v>0</v>
      </c>
      <c r="L393" s="12">
        <v>0</v>
      </c>
      <c r="M393" s="12">
        <v>0</v>
      </c>
      <c r="N393" s="12">
        <v>0</v>
      </c>
      <c r="O393" s="12">
        <v>0</v>
      </c>
      <c r="P393" s="12">
        <v>0</v>
      </c>
      <c r="Q393" s="12">
        <v>0</v>
      </c>
      <c r="R393" s="12">
        <v>0</v>
      </c>
      <c r="S393" s="12">
        <v>0</v>
      </c>
      <c r="T393" s="12">
        <v>0</v>
      </c>
      <c r="U393" s="12">
        <v>0</v>
      </c>
      <c r="V393" s="12">
        <v>0</v>
      </c>
      <c r="W393" s="12">
        <v>0</v>
      </c>
      <c r="X393" s="12">
        <v>0</v>
      </c>
      <c r="Y393" s="12">
        <v>0</v>
      </c>
      <c r="Z393" s="12">
        <v>0</v>
      </c>
      <c r="AA393" s="12">
        <v>0</v>
      </c>
      <c r="AB393" s="12">
        <v>0</v>
      </c>
      <c r="AC393" s="12">
        <v>0</v>
      </c>
      <c r="AD393" s="12">
        <v>0</v>
      </c>
      <c r="AE393" s="12">
        <v>0</v>
      </c>
      <c r="AF393" s="12">
        <v>0</v>
      </c>
      <c r="AG393" s="12">
        <v>0</v>
      </c>
    </row>
    <row r="394" spans="1:33">
      <c r="A394" s="8" t="s">
        <v>841</v>
      </c>
      <c r="B394" s="8" t="s">
        <v>842</v>
      </c>
      <c r="C394" s="9" t="s">
        <v>822</v>
      </c>
      <c r="D394" s="9" t="str">
        <f>VLOOKUP(C394,[1]销售对应表!$C:$J,5,0)</f>
        <v>公安交警行业组</v>
      </c>
      <c r="E394" s="10" t="s">
        <v>41</v>
      </c>
      <c r="F394" s="11">
        <f t="shared" si="6"/>
        <v>2</v>
      </c>
      <c r="G394" s="12">
        <v>1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1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12">
        <v>0</v>
      </c>
      <c r="U394" s="12">
        <v>0</v>
      </c>
      <c r="V394" s="12">
        <v>0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</row>
    <row r="395" spans="1:33">
      <c r="A395" s="8" t="s">
        <v>843</v>
      </c>
      <c r="B395" s="8" t="s">
        <v>844</v>
      </c>
      <c r="C395" s="9" t="s">
        <v>822</v>
      </c>
      <c r="D395" s="9" t="str">
        <f>VLOOKUP(C395,[1]销售对应表!$C:$J,5,0)</f>
        <v>公安交警行业组</v>
      </c>
      <c r="E395" s="10" t="s">
        <v>41</v>
      </c>
      <c r="F395" s="11">
        <f t="shared" si="6"/>
        <v>1</v>
      </c>
      <c r="G395" s="12">
        <v>0</v>
      </c>
      <c r="H395" s="12">
        <v>0</v>
      </c>
      <c r="I395" s="12">
        <v>0</v>
      </c>
      <c r="J395" s="12">
        <v>0</v>
      </c>
      <c r="K395" s="12">
        <v>0</v>
      </c>
      <c r="L395" s="12">
        <v>0</v>
      </c>
      <c r="M395" s="12">
        <v>0</v>
      </c>
      <c r="N395" s="12">
        <v>0</v>
      </c>
      <c r="O395" s="12">
        <v>0</v>
      </c>
      <c r="P395" s="12">
        <v>0</v>
      </c>
      <c r="Q395" s="12">
        <v>0</v>
      </c>
      <c r="R395" s="12">
        <v>0</v>
      </c>
      <c r="S395" s="12">
        <v>0</v>
      </c>
      <c r="T395" s="12">
        <v>0</v>
      </c>
      <c r="U395" s="12">
        <v>0</v>
      </c>
      <c r="V395" s="12">
        <v>0</v>
      </c>
      <c r="W395" s="12">
        <v>0</v>
      </c>
      <c r="X395" s="12">
        <v>0</v>
      </c>
      <c r="Y395" s="12">
        <v>0</v>
      </c>
      <c r="Z395" s="12">
        <v>0</v>
      </c>
      <c r="AA395" s="12">
        <v>0</v>
      </c>
      <c r="AB395" s="12">
        <v>0</v>
      </c>
      <c r="AC395" s="12">
        <v>0</v>
      </c>
      <c r="AD395" s="12">
        <v>1</v>
      </c>
      <c r="AE395" s="12">
        <v>0</v>
      </c>
      <c r="AF395" s="12">
        <v>0</v>
      </c>
      <c r="AG395" s="12">
        <v>0</v>
      </c>
    </row>
    <row r="396" spans="1:33">
      <c r="A396" s="8" t="s">
        <v>845</v>
      </c>
      <c r="B396" s="8" t="s">
        <v>846</v>
      </c>
      <c r="C396" s="9" t="s">
        <v>822</v>
      </c>
      <c r="D396" s="9" t="str">
        <f>VLOOKUP(C396,[1]销售对应表!$C:$J,5,0)</f>
        <v>公安交警行业组</v>
      </c>
      <c r="E396" s="10" t="s">
        <v>41</v>
      </c>
      <c r="F396" s="11">
        <f t="shared" si="6"/>
        <v>1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12">
        <v>1</v>
      </c>
      <c r="U396" s="12">
        <v>0</v>
      </c>
      <c r="V396" s="12">
        <v>0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</row>
  </sheetData>
  <autoFilter xmlns:etc="http://www.wps.cn/officeDocument/2017/etCustomData" ref="D1:D396" etc:filterBottomFollowUsedRange="0">
    <extLst/>
  </autoFilter>
  <conditionalFormatting sqref="G$1:AG$1048576">
    <cfRule type="cellIs" dxfId="0" priority="4" operator="equal">
      <formula>1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zhangyan59</cp:lastModifiedBy>
  <dcterms:created xsi:type="dcterms:W3CDTF">2015-06-05T18:19:00Z</dcterms:created>
  <dcterms:modified xsi:type="dcterms:W3CDTF">2026-07-27T13:53:59Z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2974D2CDEF204D74892BA50E74B769A8_12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